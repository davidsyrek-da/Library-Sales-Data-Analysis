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b8b0ebbab43d41/Data Aanyltics/Project/"/>
    </mc:Choice>
  </mc:AlternateContent>
  <xr:revisionPtr revIDLastSave="16" documentId="8_{B0210077-18B2-409F-A2D3-7453F8B9274F}" xr6:coauthVersionLast="47" xr6:coauthVersionMax="47" xr10:uidLastSave="{DE37AB21-EDDF-447B-94F5-ADFC788E8899}"/>
  <bookViews>
    <workbookView xWindow="-110" yWindow="-110" windowWidth="25820" windowHeight="15500" xr2:uid="{F9342B97-C0B9-4458-B9E8-8A3C453EABA4}"/>
  </bookViews>
  <sheets>
    <sheet name="Sales" sheetId="1" r:id="rId1"/>
    <sheet name="Products" sheetId="2" r:id="rId2"/>
    <sheet name="Managers" sheetId="3" r:id="rId3"/>
  </sheets>
  <definedNames>
    <definedName name="_xlcn.WorksheetConnection_Book1.xlsxTab_Managers" hidden="1">Tab_Managers[]</definedName>
    <definedName name="_xlcn.WorksheetConnection_Book1.xlsxTab_Products" hidden="1">Tab_Products[]</definedName>
    <definedName name="_xlcn.WorksheetConnection_Book1.xlsxTab_Sales" hidden="1">Tab_Sales[]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_Sales" name="Tab_Sales" connection="WorksheetConnection_Book1.xlsx!Tab_Sales"/>
          <x15:modelTable id="Tab_Products" name="Tab_Products" connection="WorksheetConnection_Book1.xlsx!Tab_Products"/>
          <x15:modelTable id="Tab_Managers" name="Tab_Managers" connection="WorksheetConnection_Book1.xlsx!Tab_Managers"/>
        </x15:modelTables>
        <x15:modelRelationships>
          <x15:modelRelationship fromTable="Tab_Sales" fromColumn="Book_ID" toTable="Tab_Products" toColumn="Book_ID"/>
          <x15:modelRelationship fromTable="Tab_Sales" fromColumn="Store_Location" toTable="Tab_Managers" toColumn="Store_Locat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I8" i="1" s="1"/>
  <c r="G11" i="1"/>
  <c r="G12" i="1"/>
  <c r="G13" i="1"/>
  <c r="I13" i="1" s="1"/>
  <c r="G14" i="1"/>
  <c r="I14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G23" i="1"/>
  <c r="G24" i="1"/>
  <c r="I24" i="1" s="1"/>
  <c r="G25" i="1"/>
  <c r="I25" i="1" s="1"/>
  <c r="G33" i="1"/>
  <c r="I33" i="1" s="1"/>
  <c r="G34" i="1"/>
  <c r="I34" i="1" s="1"/>
  <c r="G35" i="1"/>
  <c r="G36" i="1"/>
  <c r="G37" i="1"/>
  <c r="I37" i="1" s="1"/>
  <c r="G38" i="1"/>
  <c r="I38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G47" i="1"/>
  <c r="G48" i="1"/>
  <c r="I48" i="1" s="1"/>
  <c r="G49" i="1"/>
  <c r="I49" i="1" s="1"/>
  <c r="F3" i="1"/>
  <c r="H3" i="1" s="1"/>
  <c r="F2" i="1"/>
  <c r="H2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2" i="2"/>
  <c r="G2" i="1" s="1"/>
  <c r="I2" i="1" s="1"/>
  <c r="F3" i="2"/>
  <c r="F4" i="2"/>
  <c r="G3" i="1" s="1"/>
  <c r="I3" i="1" s="1"/>
  <c r="F5" i="2"/>
  <c r="G7" i="1" s="1"/>
  <c r="I7" i="1" s="1"/>
  <c r="F6" i="2"/>
  <c r="G6" i="1" s="1"/>
  <c r="I6" i="1" s="1"/>
  <c r="F7" i="2"/>
  <c r="G26" i="1" s="1"/>
  <c r="I26" i="1" s="1"/>
  <c r="F8" i="2"/>
  <c r="G27" i="1" s="1"/>
  <c r="I27" i="1" s="1"/>
  <c r="F9" i="2"/>
  <c r="G28" i="1" s="1"/>
  <c r="I28" i="1" s="1"/>
  <c r="F10" i="2"/>
  <c r="G29" i="1" s="1"/>
  <c r="I29" i="1" s="1"/>
  <c r="F11" i="2"/>
  <c r="G50" i="1" s="1"/>
  <c r="I50" i="1" s="1"/>
  <c r="G16" i="1" l="1"/>
  <c r="I16" i="1" s="1"/>
  <c r="G39" i="1"/>
  <c r="I39" i="1" s="1"/>
  <c r="G15" i="1"/>
  <c r="I15" i="1" s="1"/>
  <c r="G9" i="1"/>
  <c r="I9" i="1" s="1"/>
  <c r="G32" i="1"/>
  <c r="I32" i="1" s="1"/>
  <c r="G30" i="1"/>
  <c r="I30" i="1" s="1"/>
  <c r="G5" i="1"/>
  <c r="I5" i="1" s="1"/>
  <c r="G51" i="1"/>
  <c r="I51" i="1" s="1"/>
  <c r="G10" i="1"/>
  <c r="I10" i="1" s="1"/>
  <c r="G31" i="1"/>
  <c r="I31" i="1" s="1"/>
  <c r="G4" i="1"/>
  <c r="I4" i="1" s="1"/>
  <c r="J3" i="1"/>
  <c r="J47" i="1"/>
  <c r="J23" i="1"/>
  <c r="J46" i="1"/>
  <c r="J22" i="1"/>
  <c r="J36" i="1"/>
  <c r="J12" i="1"/>
  <c r="I36" i="1"/>
  <c r="J35" i="1"/>
  <c r="J11" i="1"/>
  <c r="I35" i="1"/>
  <c r="J48" i="1"/>
  <c r="J38" i="1"/>
  <c r="J37" i="1"/>
  <c r="I12" i="1"/>
  <c r="J27" i="1"/>
  <c r="I11" i="1"/>
  <c r="J25" i="1"/>
  <c r="J24" i="1"/>
  <c r="J14" i="1"/>
  <c r="J13" i="1"/>
  <c r="I23" i="1"/>
  <c r="I22" i="1"/>
  <c r="I47" i="1"/>
  <c r="I46" i="1"/>
  <c r="J51" i="1"/>
  <c r="J49" i="1"/>
  <c r="J45" i="1"/>
  <c r="J21" i="1"/>
  <c r="J44" i="1"/>
  <c r="J20" i="1"/>
  <c r="J43" i="1"/>
  <c r="J19" i="1"/>
  <c r="J42" i="1"/>
  <c r="J18" i="1"/>
  <c r="J41" i="1"/>
  <c r="J17" i="1"/>
  <c r="J40" i="1"/>
  <c r="J16" i="1"/>
  <c r="J39" i="1"/>
  <c r="J9" i="1"/>
  <c r="J32" i="1"/>
  <c r="J8" i="1"/>
  <c r="J7" i="1"/>
  <c r="J30" i="1"/>
  <c r="J6" i="1"/>
  <c r="J29" i="1"/>
  <c r="J28" i="1"/>
  <c r="J34" i="1"/>
  <c r="J33" i="1"/>
  <c r="J50" i="1"/>
  <c r="J26" i="1"/>
  <c r="J2" i="1"/>
  <c r="J4" i="1" l="1"/>
  <c r="J5" i="1"/>
  <c r="J31" i="1"/>
  <c r="J10" i="1"/>
  <c r="J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35AFB-5CD4-4FD6-8FE3-2774B9243FF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CDDC4A3-9463-4D0C-BEC1-6142F2A657E2}" name="WorksheetConnection_Book1.xlsx!Tab_Managers" type="102" refreshedVersion="8" minRefreshableVersion="5">
    <extLst>
      <ext xmlns:x15="http://schemas.microsoft.com/office/spreadsheetml/2010/11/main" uri="{DE250136-89BD-433C-8126-D09CA5730AF9}">
        <x15:connection id="Tab_Managers">
          <x15:rangePr sourceName="_xlcn.WorksheetConnection_Book1.xlsxTab_Managers"/>
        </x15:connection>
      </ext>
    </extLst>
  </connection>
  <connection id="3" xr16:uid="{D6EFA72A-A2E9-4850-A39B-72151811A42D}" name="WorksheetConnection_Book1.xlsx!Tab_Products" type="102" refreshedVersion="8" minRefreshableVersion="5">
    <extLst>
      <ext xmlns:x15="http://schemas.microsoft.com/office/spreadsheetml/2010/11/main" uri="{DE250136-89BD-433C-8126-D09CA5730AF9}">
        <x15:connection id="Tab_Products">
          <x15:rangePr sourceName="_xlcn.WorksheetConnection_Book1.xlsxTab_Products"/>
        </x15:connection>
      </ext>
    </extLst>
  </connection>
  <connection id="4" xr16:uid="{52938645-4E31-47A6-BAFB-EC7DBBF9EE44}" name="WorksheetConnection_Book1.xlsx!Tab_Sales" type="102" refreshedVersion="8" minRefreshableVersion="5">
    <extLst>
      <ext xmlns:x15="http://schemas.microsoft.com/office/spreadsheetml/2010/11/main" uri="{DE250136-89BD-433C-8126-D09CA5730AF9}">
        <x15:connection id="Tab_Sales">
          <x15:rangePr sourceName="_xlcn.WorksheetConnection_Book1.xlsxTab_Sales"/>
        </x15:connection>
      </ext>
    </extLst>
  </connection>
</connections>
</file>

<file path=xl/sharedStrings.xml><?xml version="1.0" encoding="utf-8"?>
<sst xmlns="http://schemas.openxmlformats.org/spreadsheetml/2006/main" count="216" uniqueCount="105">
  <si>
    <t>Order_ID</t>
  </si>
  <si>
    <t>Date</t>
  </si>
  <si>
    <t>Book_ID</t>
  </si>
  <si>
    <t>Units_Sold</t>
  </si>
  <si>
    <t>Store_Location</t>
  </si>
  <si>
    <t>ORD-101</t>
  </si>
  <si>
    <t>BK001</t>
  </si>
  <si>
    <t>ORD-102</t>
  </si>
  <si>
    <t>BK003</t>
  </si>
  <si>
    <t>London</t>
  </si>
  <si>
    <t>ORD-103</t>
  </si>
  <si>
    <t>ORD-104</t>
  </si>
  <si>
    <t>ORD-105</t>
  </si>
  <si>
    <t>BK005</t>
  </si>
  <si>
    <t>ORD-106</t>
  </si>
  <si>
    <t>BK004</t>
  </si>
  <si>
    <t>ORD-107</t>
  </si>
  <si>
    <t>BK002</t>
  </si>
  <si>
    <t>ORD-108</t>
  </si>
  <si>
    <t>Portsmouth</t>
  </si>
  <si>
    <t>ORD-109</t>
  </si>
  <si>
    <t>Southampton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</si>
  <si>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</si>
  <si>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</si>
  <si>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</si>
  <si>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</si>
  <si>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</si>
  <si>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</si>
  <si>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</si>
  <si>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</si>
  <si>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</si>
  <si>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</si>
  <si>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</si>
  <si>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</si>
  <si>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</si>
  <si>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</si>
  <si>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</si>
  <si>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</si>
  <si>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</si>
  <si>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</si>
  <si>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</si>
  <si>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</si>
  <si>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</si>
  <si>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</si>
  <si>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</si>
  <si>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</si>
  <si>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</si>
  <si>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</si>
  <si>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</si>
  <si>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</si>
  <si>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</si>
  <si>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</si>
  <si>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</si>
  <si>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</si>
  <si>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</si>
  <si>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</si>
  <si>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</si>
  <si>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</si>
  <si>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</si>
  <si>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</si>
  <si>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</si>
  <si>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</si>
  <si>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</si>
  <si>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Title</t>
  </si>
  <si>
    <t>Author</t>
  </si>
  <si>
    <t>Genre</t>
  </si>
  <si>
    <t>Price</t>
  </si>
  <si>
    <t>The Way of Kings</t>
  </si>
  <si>
    <t>Sanderson</t>
  </si>
  <si>
    <t>Fantasy</t>
  </si>
  <si>
    <t>Leviathan Wakes</t>
  </si>
  <si>
    <t>Corey</t>
  </si>
  <si>
    <t>Sci-Fi</t>
  </si>
  <si>
    <t>Red Sister</t>
  </si>
  <si>
    <t>Lawrence</t>
  </si>
  <si>
    <t>Neuromancer</t>
  </si>
  <si>
    <t>Gibson</t>
  </si>
  <si>
    <t>Foundation</t>
  </si>
  <si>
    <t>Asimov</t>
  </si>
  <si>
    <t>Manager</t>
  </si>
  <si>
    <t>Staff_Count</t>
  </si>
  <si>
    <t>Sarah</t>
  </si>
  <si>
    <t>James</t>
  </si>
  <si>
    <t>Mike</t>
  </si>
  <si>
    <t>Stock (Units)</t>
  </si>
  <si>
    <t>BK006</t>
  </si>
  <si>
    <t>The Blade Itself</t>
  </si>
  <si>
    <t>Abercrombie</t>
  </si>
  <si>
    <t>BK007</t>
  </si>
  <si>
    <t>Project Hail Mary</t>
  </si>
  <si>
    <t>Weir</t>
  </si>
  <si>
    <t>BK008</t>
  </si>
  <si>
    <t>The Name of the Wind</t>
  </si>
  <si>
    <t>Rothfuss</t>
  </si>
  <si>
    <t>BK009</t>
  </si>
  <si>
    <t>Dune</t>
  </si>
  <si>
    <t>Herbert</t>
  </si>
  <si>
    <t>BK010</t>
  </si>
  <si>
    <t>The Lies of Locke Lamora</t>
  </si>
  <si>
    <t>Lynch</t>
  </si>
  <si>
    <t>Unit Price</t>
  </si>
  <si>
    <t>Total Revenue</t>
  </si>
  <si>
    <t>Cost</t>
  </si>
  <si>
    <t>Total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</si>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</sst>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-[$£-809]* #,##0.00_-;\-[$£-809]* #,##0.00_-;_-[$£-809]* &quot;-&quot;??_-;_-@_-"/>
    <numFmt numFmtId="166" formatCode="_-[$£-809]* #,##0.0_-;\-[$£-809]* #,##0.0_-;_-[$£-809]* &quot;-&quot;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_-[$£-809]* #,##0.00_-;\-[$£-809]* #,##0.00_-;_-[$£-809]* &quot;-&quot;??_-;_-@_-"/>
    </dxf>
    <dxf>
      <numFmt numFmtId="166" formatCode="_-[$£-809]* #,##0.0_-;\-[$£-809]* #,##0.0_-;_-[$£-809]* &quot;-&quot;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75CA5-62B2-45DC-98C2-2CEE2D9FFDF5}" name="Tab_Sales" displayName="Tab_Sales" ref="A1:J51" totalsRowShown="0" headerRowDxfId="11">
  <autoFilter ref="A1:J51" xr:uid="{6E775CA5-62B2-45DC-98C2-2CEE2D9FFDF5}"/>
  <tableColumns count="10">
    <tableColumn id="1" xr3:uid="{8631D659-0298-40C5-BF7F-E4CD60CF3280}" name="Order_ID"/>
    <tableColumn id="2" xr3:uid="{2E4B1082-624A-4564-933C-FF1DF4F26A3F}" name="Date" dataDxfId="10"/>
    <tableColumn id="3" xr3:uid="{4961DD5E-111E-48DB-BAED-1CDEB5FFC291}" name="Book_ID"/>
    <tableColumn id="5" xr3:uid="{9ECC2DD8-FE1E-4AD1-A844-D4DEC7BE8BFC}" name="Store_Location"/>
    <tableColumn id="4" xr3:uid="{2E6C04A5-29A8-4338-A4F0-571317ABF6AC}" name="Units_Sold"/>
    <tableColumn id="6" xr3:uid="{048F5B3D-2887-482B-A697-4169B7BD6176}" name="Unit Price" dataDxfId="9">
      <calculatedColumnFormula>_xlfn.XLOOKUP(C2, Products!$A$2:$A$11, Products!$G$2:$G$11)</calculatedColumnFormula>
    </tableColumn>
    <tableColumn id="8" xr3:uid="{46DEF936-D6A4-4183-852F-174C485DCB3C}" name="Cost" dataDxfId="1">
      <calculatedColumnFormula>_xlfn.XLOOKUP(C2, Products!$A$2:$A$11, Products!$F$2:$F$11)</calculatedColumnFormula>
    </tableColumn>
    <tableColumn id="7" xr3:uid="{7F8270C1-4D45-40E3-B1DF-6FA688B22C7D}" name="Total Revenue" dataDxfId="8">
      <calculatedColumnFormula>E2*F2</calculatedColumnFormula>
    </tableColumn>
    <tableColumn id="10" xr3:uid="{5BD3CFFE-F309-4BD3-9E01-3BDC86FD4BA6}" name="Total Cost" dataDxfId="2">
      <calculatedColumnFormula>E2*G2</calculatedColumnFormula>
    </tableColumn>
    <tableColumn id="9" xr3:uid="{9605FC7B-68CF-44B0-81B6-4ACC2C3158A9}" name="Total Profit" dataDxfId="7">
      <calculatedColumnFormula>(F2 - G2) * E2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079DA7-1950-4299-955F-2792EADD64CF}" name="Tab_Products" displayName="Tab_Products" ref="A1:G11" totalsRowShown="0" headerRowDxfId="6">
  <autoFilter ref="A1:G11" xr:uid="{02079DA7-1950-4299-955F-2792EADD64CF}"/>
  <tableColumns count="7">
    <tableColumn id="1" xr3:uid="{E28F8051-56B9-426A-902F-6F25798E591F}" name="Book_ID"/>
    <tableColumn id="2" xr3:uid="{026F56FF-E049-4B08-B306-58F5756BC120}" name="Title"/>
    <tableColumn id="3" xr3:uid="{0B4909B6-3C42-4773-B1A0-98754462F9F7}" name="Author"/>
    <tableColumn id="4" xr3:uid="{64DCFB18-ADAD-474D-9D8B-F85E6DB3B98F}" name="Genre"/>
    <tableColumn id="6" xr3:uid="{A742237E-2664-4178-9F25-6CE8ED075A99}" name="Stock (Units)"/>
    <tableColumn id="7" xr3:uid="{12B940BD-91DC-4694-8CE9-454789F5EF80}" name="Cost" dataDxfId="5">
      <calculatedColumnFormula>Tab_Products[[#This Row],[Price]]*0.6</calculatedColumnFormula>
    </tableColumn>
    <tableColumn id="5" xr3:uid="{1283E1DB-F2B1-4C76-A46E-B86EFC1930AB}" name="Pric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93D317-4D12-4E0A-BDE4-2E225D1A87CA}" name="Tab_Managers" displayName="Tab_Managers" ref="A1:C4" totalsRowShown="0" headerRowDxfId="3">
  <autoFilter ref="A1:C4" xr:uid="{6093D317-4D12-4E0A-BDE4-2E225D1A87CA}"/>
  <tableColumns count="3">
    <tableColumn id="1" xr3:uid="{80D5E9A2-C143-4097-A457-B8DABBE7A16A}" name="Store_Location"/>
    <tableColumn id="2" xr3:uid="{09867F5B-084B-4CAB-BCE1-459251DA1D38}" name="Manager"/>
    <tableColumn id="3" xr3:uid="{8A67C29E-A8EA-499E-BC51-0818B40930A8}" name="Staff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F1FD-2918-46FF-B85D-94119ED9F42C}">
  <dimension ref="A1:J51"/>
  <sheetViews>
    <sheetView tabSelected="1" workbookViewId="0">
      <selection activeCell="K1" sqref="K1"/>
    </sheetView>
  </sheetViews>
  <sheetFormatPr defaultRowHeight="14.5" x14ac:dyDescent="0.35"/>
  <cols>
    <col min="1" max="1" width="10.08984375" customWidth="1"/>
    <col min="2" max="2" width="12.1796875" customWidth="1"/>
    <col min="3" max="3" width="9.54296875" customWidth="1"/>
    <col min="4" max="4" width="16.54296875" customWidth="1"/>
    <col min="5" max="5" width="13.36328125" customWidth="1"/>
    <col min="6" max="6" width="12.26953125" customWidth="1"/>
    <col min="7" max="7" width="14.54296875" customWidth="1"/>
    <col min="8" max="8" width="15.08984375" customWidth="1"/>
    <col min="9" max="9" width="12.7265625" customWidth="1"/>
    <col min="10" max="10" width="13.1796875" customWidth="1"/>
    <col min="11" max="11" width="12.08984375" customWidth="1"/>
    <col min="12" max="12" width="12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100</v>
      </c>
      <c r="G1" s="1" t="s">
        <v>102</v>
      </c>
      <c r="H1" s="1" t="s">
        <v>101</v>
      </c>
      <c r="I1" s="1" t="s">
        <v>103</v>
      </c>
      <c r="J1" s="1" t="s">
        <v>104</v>
      </c>
    </row>
    <row r="2" spans="1:10" x14ac:dyDescent="0.35">
      <c r="A2" t="s">
        <v>5</v>
      </c>
      <c r="B2" s="2">
        <v>46068</v>
      </c>
      <c r="C2" t="s">
        <v>6</v>
      </c>
      <c r="D2" t="s">
        <v>19</v>
      </c>
      <c r="E2">
        <v>2</v>
      </c>
      <c r="F2" s="3">
        <f>_xlfn.XLOOKUP(C2, Products!$A$2:$A$11, Products!$G$2:$G$11)</f>
        <v>22.5</v>
      </c>
      <c r="G2">
        <f>_xlfn.XLOOKUP(C2, Products!$A$2:$A$11, Products!$F$2:$F$11)</f>
        <v>13.5</v>
      </c>
      <c r="H2" s="3">
        <f>E2*F2</f>
        <v>45</v>
      </c>
      <c r="I2" s="3">
        <f>E2*G2</f>
        <v>27</v>
      </c>
      <c r="J2" s="3">
        <f>(F2 - G2) * E2</f>
        <v>18</v>
      </c>
    </row>
    <row r="3" spans="1:10" x14ac:dyDescent="0.35">
      <c r="A3" t="s">
        <v>7</v>
      </c>
      <c r="B3" s="2">
        <v>46068</v>
      </c>
      <c r="C3" t="s">
        <v>8</v>
      </c>
      <c r="D3" t="s">
        <v>9</v>
      </c>
      <c r="E3">
        <v>5</v>
      </c>
      <c r="F3" s="3">
        <f>_xlfn.XLOOKUP(C3, Products!$A$2:$A$11, Products!$G$2:$G$11)</f>
        <v>15</v>
      </c>
      <c r="G3">
        <f>_xlfn.XLOOKUP(C3, Products!$A$2:$A$11, Products!$F$2:$F$11)</f>
        <v>9</v>
      </c>
      <c r="H3" s="3">
        <f>E3*F3</f>
        <v>75</v>
      </c>
      <c r="I3" s="3">
        <f>E3*G3</f>
        <v>45</v>
      </c>
      <c r="J3" s="3">
        <f>(F3 - G3) * E3</f>
        <v>30</v>
      </c>
    </row>
    <row r="4" spans="1:10" x14ac:dyDescent="0.35">
      <c r="A4" t="s">
        <v>10</v>
      </c>
      <c r="B4" s="2">
        <v>46068</v>
      </c>
      <c r="C4" t="s">
        <v>85</v>
      </c>
      <c r="D4" t="s">
        <v>19</v>
      </c>
      <c r="E4">
        <v>2</v>
      </c>
      <c r="F4" s="3">
        <f>_xlfn.XLOOKUP(C4, Products!$A$2:$A$11, Products!$G$2:$G$11)</f>
        <v>14.5</v>
      </c>
      <c r="G4">
        <f>_xlfn.XLOOKUP(C4, Products!$A$2:$A$11, Products!$F$2:$F$11)</f>
        <v>8.6999999999999993</v>
      </c>
      <c r="H4" s="3">
        <f>E4*F4</f>
        <v>29</v>
      </c>
      <c r="I4" s="3">
        <f>E4*G4</f>
        <v>17.399999999999999</v>
      </c>
      <c r="J4" s="3">
        <f>(F4 - G4) * E4</f>
        <v>11.600000000000001</v>
      </c>
    </row>
    <row r="5" spans="1:10" x14ac:dyDescent="0.35">
      <c r="A5" t="s">
        <v>11</v>
      </c>
      <c r="B5" s="2">
        <v>46069</v>
      </c>
      <c r="C5" t="s">
        <v>88</v>
      </c>
      <c r="D5" t="s">
        <v>21</v>
      </c>
      <c r="E5">
        <v>3</v>
      </c>
      <c r="F5" s="3">
        <f>_xlfn.XLOOKUP(C5, Products!$A$2:$A$11, Products!$G$2:$G$11)</f>
        <v>20</v>
      </c>
      <c r="G5">
        <f>_xlfn.XLOOKUP(C5, Products!$A$2:$A$11, Products!$F$2:$F$11)</f>
        <v>12</v>
      </c>
      <c r="H5" s="3">
        <f>E5*F5</f>
        <v>60</v>
      </c>
      <c r="I5" s="3">
        <f>E5*G5</f>
        <v>36</v>
      </c>
      <c r="J5" s="3">
        <f>(F5 - G5) * E5</f>
        <v>24</v>
      </c>
    </row>
    <row r="6" spans="1:10" x14ac:dyDescent="0.35">
      <c r="A6" t="s">
        <v>12</v>
      </c>
      <c r="B6" s="2">
        <v>46070</v>
      </c>
      <c r="C6" t="s">
        <v>13</v>
      </c>
      <c r="D6" t="s">
        <v>9</v>
      </c>
      <c r="E6">
        <v>10</v>
      </c>
      <c r="F6" s="3">
        <f>_xlfn.XLOOKUP(C6, Products!$A$2:$A$11, Products!$G$2:$G$11)</f>
        <v>10</v>
      </c>
      <c r="G6">
        <f>_xlfn.XLOOKUP(C6, Products!$A$2:$A$11, Products!$F$2:$F$11)</f>
        <v>6</v>
      </c>
      <c r="H6" s="3">
        <f>E6*F6</f>
        <v>100</v>
      </c>
      <c r="I6" s="3">
        <f>E6*G6</f>
        <v>60</v>
      </c>
      <c r="J6" s="3">
        <f>(F6 - G6) * E6</f>
        <v>40</v>
      </c>
    </row>
    <row r="7" spans="1:10" x14ac:dyDescent="0.35">
      <c r="A7" t="s">
        <v>14</v>
      </c>
      <c r="B7" s="2">
        <v>46070</v>
      </c>
      <c r="C7" t="s">
        <v>15</v>
      </c>
      <c r="D7" t="s">
        <v>19</v>
      </c>
      <c r="E7">
        <v>2</v>
      </c>
      <c r="F7" s="3">
        <f>_xlfn.XLOOKUP(C7, Products!$A$2:$A$11, Products!$G$2:$G$11)</f>
        <v>12</v>
      </c>
      <c r="G7">
        <f>_xlfn.XLOOKUP(C7, Products!$A$2:$A$11, Products!$F$2:$F$11)</f>
        <v>7.1999999999999993</v>
      </c>
      <c r="H7" s="3">
        <f>E7*F7</f>
        <v>24</v>
      </c>
      <c r="I7" s="3">
        <f>E7*G7</f>
        <v>14.399999999999999</v>
      </c>
      <c r="J7" s="3">
        <f>(F7 - G7) * E7</f>
        <v>9.6000000000000014</v>
      </c>
    </row>
    <row r="8" spans="1:10" x14ac:dyDescent="0.35">
      <c r="A8" t="s">
        <v>16</v>
      </c>
      <c r="B8" s="2">
        <v>46071</v>
      </c>
      <c r="C8" t="s">
        <v>17</v>
      </c>
      <c r="D8" t="s">
        <v>9</v>
      </c>
      <c r="E8">
        <v>1</v>
      </c>
      <c r="F8" s="3">
        <f>_xlfn.XLOOKUP(C8, Products!$A$2:$A$11, Products!$G$2:$G$11)</f>
        <v>18</v>
      </c>
      <c r="G8">
        <f>_xlfn.XLOOKUP(C8, Products!$A$2:$A$11, Products!$F$2:$F$11)</f>
        <v>10.799999999999999</v>
      </c>
      <c r="H8" s="3">
        <f>E8*F8</f>
        <v>18</v>
      </c>
      <c r="I8" s="3">
        <f>E8*G8</f>
        <v>10.799999999999999</v>
      </c>
      <c r="J8" s="3">
        <f>(F8 - G8) * E8</f>
        <v>7.2000000000000011</v>
      </c>
    </row>
    <row r="9" spans="1:10" x14ac:dyDescent="0.35">
      <c r="A9" t="s">
        <v>18</v>
      </c>
      <c r="B9" s="2">
        <v>46071</v>
      </c>
      <c r="C9" t="s">
        <v>91</v>
      </c>
      <c r="D9" t="s">
        <v>19</v>
      </c>
      <c r="E9">
        <v>4</v>
      </c>
      <c r="F9" s="3">
        <f>_xlfn.XLOOKUP(C9, Products!$A$2:$A$11, Products!$G$2:$G$11)</f>
        <v>25</v>
      </c>
      <c r="G9">
        <f>_xlfn.XLOOKUP(C9, Products!$A$2:$A$11, Products!$F$2:$F$11)</f>
        <v>15</v>
      </c>
      <c r="H9" s="3">
        <f>E9*F9</f>
        <v>100</v>
      </c>
      <c r="I9" s="3">
        <f>E9*G9</f>
        <v>60</v>
      </c>
      <c r="J9" s="3">
        <f>(F9 - G9) * E9</f>
        <v>40</v>
      </c>
    </row>
    <row r="10" spans="1:10" x14ac:dyDescent="0.35">
      <c r="A10" t="s">
        <v>20</v>
      </c>
      <c r="B10" s="2">
        <v>46072</v>
      </c>
      <c r="C10" t="s">
        <v>94</v>
      </c>
      <c r="D10" t="s">
        <v>21</v>
      </c>
      <c r="E10">
        <v>2</v>
      </c>
      <c r="F10" s="3">
        <f>_xlfn.XLOOKUP(C10, Products!$A$2:$A$11, Products!$G$2:$G$11)</f>
        <v>11</v>
      </c>
      <c r="G10">
        <f>_xlfn.XLOOKUP(C10, Products!$A$2:$A$11, Products!$F$2:$F$11)</f>
        <v>6.6</v>
      </c>
      <c r="H10" s="3">
        <f>E10*F10</f>
        <v>22</v>
      </c>
      <c r="I10" s="3">
        <f>E10*G10</f>
        <v>13.2</v>
      </c>
      <c r="J10" s="3">
        <f>(F10 - G10) * E10</f>
        <v>8.8000000000000007</v>
      </c>
    </row>
    <row r="11" spans="1:10" x14ac:dyDescent="0.35">
      <c r="A11" t="s">
        <v>22</v>
      </c>
      <c r="B11" s="2">
        <v>46072</v>
      </c>
      <c r="C11" t="s">
        <v>97</v>
      </c>
      <c r="D11" t="s">
        <v>9</v>
      </c>
      <c r="E11">
        <v>6</v>
      </c>
      <c r="F11" s="3">
        <f>_xlfn.XLOOKUP(C11, Products!$A$2:$A$11, Products!$G$2:$G$11)</f>
        <v>16</v>
      </c>
      <c r="G11">
        <f>_xlfn.XLOOKUP(C11, Products!$A$2:$A$11, Products!$F$2:$F$11)</f>
        <v>9.6</v>
      </c>
      <c r="H11" s="3">
        <f>E11*F11</f>
        <v>96</v>
      </c>
      <c r="I11" s="3">
        <f>E11*G11</f>
        <v>57.599999999999994</v>
      </c>
      <c r="J11" s="3">
        <f>(F11 - G11) * E11</f>
        <v>38.400000000000006</v>
      </c>
    </row>
    <row r="12" spans="1:10" x14ac:dyDescent="0.35">
      <c r="A12" t="s">
        <v>23</v>
      </c>
      <c r="B12" s="2">
        <v>46073</v>
      </c>
      <c r="C12" t="s">
        <v>6</v>
      </c>
      <c r="D12" t="s">
        <v>19</v>
      </c>
      <c r="E12">
        <v>1</v>
      </c>
      <c r="F12" s="3">
        <f>_xlfn.XLOOKUP(C12, Products!$A$2:$A$11, Products!$G$2:$G$11)</f>
        <v>22.5</v>
      </c>
      <c r="G12">
        <f>_xlfn.XLOOKUP(C12, Products!$A$2:$A$11, Products!$F$2:$F$11)</f>
        <v>13.5</v>
      </c>
      <c r="H12" s="3">
        <f>E12*F12</f>
        <v>22.5</v>
      </c>
      <c r="I12" s="3">
        <f>E12*G12</f>
        <v>13.5</v>
      </c>
      <c r="J12" s="3">
        <f>(F12 - G12) * E12</f>
        <v>9</v>
      </c>
    </row>
    <row r="13" spans="1:10" x14ac:dyDescent="0.35">
      <c r="A13" t="s">
        <v>24</v>
      </c>
      <c r="B13" s="2">
        <v>46073</v>
      </c>
      <c r="C13" t="s">
        <v>17</v>
      </c>
      <c r="D13" t="s">
        <v>21</v>
      </c>
      <c r="E13">
        <v>8</v>
      </c>
      <c r="F13" s="3">
        <f>_xlfn.XLOOKUP(C13, Products!$A$2:$A$11, Products!$G$2:$G$11)</f>
        <v>18</v>
      </c>
      <c r="G13">
        <f>_xlfn.XLOOKUP(C13, Products!$A$2:$A$11, Products!$F$2:$F$11)</f>
        <v>10.799999999999999</v>
      </c>
      <c r="H13" s="3">
        <f>E13*F13</f>
        <v>144</v>
      </c>
      <c r="I13" s="3">
        <f>E13*G13</f>
        <v>86.399999999999991</v>
      </c>
      <c r="J13" s="3">
        <f>(F13 - G13) * E13</f>
        <v>57.600000000000009</v>
      </c>
    </row>
    <row r="14" spans="1:10" x14ac:dyDescent="0.35">
      <c r="A14" t="s">
        <v>25</v>
      </c>
      <c r="B14" s="2">
        <v>46074</v>
      </c>
      <c r="C14" t="s">
        <v>15</v>
      </c>
      <c r="D14" t="s">
        <v>19</v>
      </c>
      <c r="E14">
        <v>3</v>
      </c>
      <c r="F14" s="3">
        <f>_xlfn.XLOOKUP(C14, Products!$A$2:$A$11, Products!$G$2:$G$11)</f>
        <v>12</v>
      </c>
      <c r="G14">
        <f>_xlfn.XLOOKUP(C14, Products!$A$2:$A$11, Products!$F$2:$F$11)</f>
        <v>7.1999999999999993</v>
      </c>
      <c r="H14" s="3">
        <f>E14*F14</f>
        <v>36</v>
      </c>
      <c r="I14" s="3">
        <f>E14*G14</f>
        <v>21.599999999999998</v>
      </c>
      <c r="J14" s="3">
        <f>(F14 - G14) * E14</f>
        <v>14.400000000000002</v>
      </c>
    </row>
    <row r="15" spans="1:10" x14ac:dyDescent="0.35">
      <c r="A15" t="s">
        <v>26</v>
      </c>
      <c r="B15" s="2">
        <v>46074</v>
      </c>
      <c r="C15" t="s">
        <v>8</v>
      </c>
      <c r="D15" t="s">
        <v>9</v>
      </c>
      <c r="E15">
        <v>5</v>
      </c>
      <c r="F15" s="3">
        <f>_xlfn.XLOOKUP(C15, Products!$A$2:$A$11, Products!$G$2:$G$11)</f>
        <v>15</v>
      </c>
      <c r="G15">
        <f>_xlfn.XLOOKUP(C15, Products!$A$2:$A$11, Products!$F$2:$F$11)</f>
        <v>9</v>
      </c>
      <c r="H15" s="3">
        <f>E15*F15</f>
        <v>75</v>
      </c>
      <c r="I15" s="3">
        <f>E15*G15</f>
        <v>45</v>
      </c>
      <c r="J15" s="3">
        <f>(F15 - G15) * E15</f>
        <v>30</v>
      </c>
    </row>
    <row r="16" spans="1:10" x14ac:dyDescent="0.35">
      <c r="A16" t="s">
        <v>27</v>
      </c>
      <c r="B16" s="2">
        <v>46075</v>
      </c>
      <c r="C16" t="s">
        <v>85</v>
      </c>
      <c r="D16" t="s">
        <v>19</v>
      </c>
      <c r="E16">
        <v>2</v>
      </c>
      <c r="F16" s="3">
        <f>_xlfn.XLOOKUP(C16, Products!$A$2:$A$11, Products!$G$2:$G$11)</f>
        <v>14.5</v>
      </c>
      <c r="G16">
        <f>_xlfn.XLOOKUP(C16, Products!$A$2:$A$11, Products!$F$2:$F$11)</f>
        <v>8.6999999999999993</v>
      </c>
      <c r="H16" s="3">
        <f>E16*F16</f>
        <v>29</v>
      </c>
      <c r="I16" s="3">
        <f>E16*G16</f>
        <v>17.399999999999999</v>
      </c>
      <c r="J16" s="3">
        <f>(F16 - G16) * E16</f>
        <v>11.600000000000001</v>
      </c>
    </row>
    <row r="17" spans="1:10" x14ac:dyDescent="0.35">
      <c r="A17" t="s">
        <v>28</v>
      </c>
      <c r="B17" s="2">
        <v>46075</v>
      </c>
      <c r="C17" t="s">
        <v>88</v>
      </c>
      <c r="D17" t="s">
        <v>21</v>
      </c>
      <c r="E17">
        <v>12</v>
      </c>
      <c r="F17" s="3">
        <f>_xlfn.XLOOKUP(C17, Products!$A$2:$A$11, Products!$G$2:$G$11)</f>
        <v>20</v>
      </c>
      <c r="G17">
        <f>_xlfn.XLOOKUP(C17, Products!$A$2:$A$11, Products!$F$2:$F$11)</f>
        <v>12</v>
      </c>
      <c r="H17" s="3">
        <f>E17*F17</f>
        <v>240</v>
      </c>
      <c r="I17" s="3">
        <f>E17*G17</f>
        <v>144</v>
      </c>
      <c r="J17" s="3">
        <f>(F17 - G17) * E17</f>
        <v>96</v>
      </c>
    </row>
    <row r="18" spans="1:10" x14ac:dyDescent="0.35">
      <c r="A18" t="s">
        <v>29</v>
      </c>
      <c r="B18" s="2">
        <v>46076</v>
      </c>
      <c r="C18" t="s">
        <v>91</v>
      </c>
      <c r="D18" t="s">
        <v>9</v>
      </c>
      <c r="E18">
        <v>4</v>
      </c>
      <c r="F18" s="3">
        <f>_xlfn.XLOOKUP(C18, Products!$A$2:$A$11, Products!$G$2:$G$11)</f>
        <v>25</v>
      </c>
      <c r="G18">
        <f>_xlfn.XLOOKUP(C18, Products!$A$2:$A$11, Products!$F$2:$F$11)</f>
        <v>15</v>
      </c>
      <c r="H18" s="3">
        <f>E18*F18</f>
        <v>100</v>
      </c>
      <c r="I18" s="3">
        <f>E18*G18</f>
        <v>60</v>
      </c>
      <c r="J18" s="3">
        <f>(F18 - G18) * E18</f>
        <v>40</v>
      </c>
    </row>
    <row r="19" spans="1:10" x14ac:dyDescent="0.35">
      <c r="A19" t="s">
        <v>30</v>
      </c>
      <c r="B19" s="2">
        <v>46076</v>
      </c>
      <c r="C19" t="s">
        <v>94</v>
      </c>
      <c r="D19" t="s">
        <v>19</v>
      </c>
      <c r="E19">
        <v>1</v>
      </c>
      <c r="F19" s="3">
        <f>_xlfn.XLOOKUP(C19, Products!$A$2:$A$11, Products!$G$2:$G$11)</f>
        <v>11</v>
      </c>
      <c r="G19">
        <f>_xlfn.XLOOKUP(C19, Products!$A$2:$A$11, Products!$F$2:$F$11)</f>
        <v>6.6</v>
      </c>
      <c r="H19" s="3">
        <f>E19*F19</f>
        <v>11</v>
      </c>
      <c r="I19" s="3">
        <f>E19*G19</f>
        <v>6.6</v>
      </c>
      <c r="J19" s="3">
        <f>(F19 - G19) * E19</f>
        <v>4.4000000000000004</v>
      </c>
    </row>
    <row r="20" spans="1:10" x14ac:dyDescent="0.35">
      <c r="A20" t="s">
        <v>31</v>
      </c>
      <c r="B20" s="2">
        <v>46077</v>
      </c>
      <c r="C20" t="s">
        <v>97</v>
      </c>
      <c r="D20" t="s">
        <v>21</v>
      </c>
      <c r="E20">
        <v>7</v>
      </c>
      <c r="F20" s="3">
        <f>_xlfn.XLOOKUP(C20, Products!$A$2:$A$11, Products!$G$2:$G$11)</f>
        <v>16</v>
      </c>
      <c r="G20">
        <f>_xlfn.XLOOKUP(C20, Products!$A$2:$A$11, Products!$F$2:$F$11)</f>
        <v>9.6</v>
      </c>
      <c r="H20" s="3">
        <f>E20*F20</f>
        <v>112</v>
      </c>
      <c r="I20" s="3">
        <f>E20*G20</f>
        <v>67.2</v>
      </c>
      <c r="J20" s="3">
        <f>(F20 - G20) * E20</f>
        <v>44.800000000000004</v>
      </c>
    </row>
    <row r="21" spans="1:10" x14ac:dyDescent="0.35">
      <c r="A21" t="s">
        <v>32</v>
      </c>
      <c r="B21" s="2">
        <v>46077</v>
      </c>
      <c r="C21" t="s">
        <v>6</v>
      </c>
      <c r="D21" t="s">
        <v>9</v>
      </c>
      <c r="E21">
        <v>3</v>
      </c>
      <c r="F21" s="3">
        <f>_xlfn.XLOOKUP(C21, Products!$A$2:$A$11, Products!$G$2:$G$11)</f>
        <v>22.5</v>
      </c>
      <c r="G21">
        <f>_xlfn.XLOOKUP(C21, Products!$A$2:$A$11, Products!$F$2:$F$11)</f>
        <v>13.5</v>
      </c>
      <c r="H21" s="3">
        <f>E21*F21</f>
        <v>67.5</v>
      </c>
      <c r="I21" s="3">
        <f>E21*G21</f>
        <v>40.5</v>
      </c>
      <c r="J21" s="3">
        <f>(F21 - G21) * E21</f>
        <v>27</v>
      </c>
    </row>
    <row r="22" spans="1:10" x14ac:dyDescent="0.35">
      <c r="A22" t="s">
        <v>33</v>
      </c>
      <c r="B22" s="2">
        <v>46078</v>
      </c>
      <c r="C22" t="s">
        <v>13</v>
      </c>
      <c r="D22" t="s">
        <v>19</v>
      </c>
      <c r="E22">
        <v>5</v>
      </c>
      <c r="F22" s="3">
        <f>_xlfn.XLOOKUP(C22, Products!$A$2:$A$11, Products!$G$2:$G$11)</f>
        <v>10</v>
      </c>
      <c r="G22">
        <f>_xlfn.XLOOKUP(C22, Products!$A$2:$A$11, Products!$F$2:$F$11)</f>
        <v>6</v>
      </c>
      <c r="H22" s="3">
        <f>E22*F22</f>
        <v>50</v>
      </c>
      <c r="I22" s="3">
        <f>E22*G22</f>
        <v>30</v>
      </c>
      <c r="J22" s="3">
        <f>(F22 - G22) * E22</f>
        <v>20</v>
      </c>
    </row>
    <row r="23" spans="1:10" x14ac:dyDescent="0.35">
      <c r="A23" t="s">
        <v>34</v>
      </c>
      <c r="B23" s="2">
        <v>46078</v>
      </c>
      <c r="C23" t="s">
        <v>17</v>
      </c>
      <c r="D23" t="s">
        <v>9</v>
      </c>
      <c r="E23">
        <v>2</v>
      </c>
      <c r="F23" s="3">
        <f>_xlfn.XLOOKUP(C23, Products!$A$2:$A$11, Products!$G$2:$G$11)</f>
        <v>18</v>
      </c>
      <c r="G23">
        <f>_xlfn.XLOOKUP(C23, Products!$A$2:$A$11, Products!$F$2:$F$11)</f>
        <v>10.799999999999999</v>
      </c>
      <c r="H23" s="3">
        <f>E23*F23</f>
        <v>36</v>
      </c>
      <c r="I23" s="3">
        <f>E23*G23</f>
        <v>21.599999999999998</v>
      </c>
      <c r="J23" s="3">
        <f>(F23 - G23) * E23</f>
        <v>14.400000000000002</v>
      </c>
    </row>
    <row r="24" spans="1:10" x14ac:dyDescent="0.35">
      <c r="A24" t="s">
        <v>35</v>
      </c>
      <c r="B24" s="2">
        <v>46079</v>
      </c>
      <c r="C24" t="s">
        <v>15</v>
      </c>
      <c r="D24" t="s">
        <v>21</v>
      </c>
      <c r="E24">
        <v>9</v>
      </c>
      <c r="F24" s="3">
        <f>_xlfn.XLOOKUP(C24, Products!$A$2:$A$11, Products!$G$2:$G$11)</f>
        <v>12</v>
      </c>
      <c r="G24">
        <f>_xlfn.XLOOKUP(C24, Products!$A$2:$A$11, Products!$F$2:$F$11)</f>
        <v>7.1999999999999993</v>
      </c>
      <c r="H24" s="3">
        <f>E24*F24</f>
        <v>108</v>
      </c>
      <c r="I24" s="3">
        <f>E24*G24</f>
        <v>64.8</v>
      </c>
      <c r="J24" s="3">
        <f>(F24 - G24) * E24</f>
        <v>43.2</v>
      </c>
    </row>
    <row r="25" spans="1:10" x14ac:dyDescent="0.35">
      <c r="A25" t="s">
        <v>36</v>
      </c>
      <c r="B25" s="2">
        <v>46079</v>
      </c>
      <c r="C25" t="s">
        <v>8</v>
      </c>
      <c r="D25" t="s">
        <v>19</v>
      </c>
      <c r="E25">
        <v>4</v>
      </c>
      <c r="F25" s="3">
        <f>_xlfn.XLOOKUP(C25, Products!$A$2:$A$11, Products!$G$2:$G$11)</f>
        <v>15</v>
      </c>
      <c r="G25">
        <f>_xlfn.XLOOKUP(C25, Products!$A$2:$A$11, Products!$F$2:$F$11)</f>
        <v>9</v>
      </c>
      <c r="H25" s="3">
        <f>E25*F25</f>
        <v>60</v>
      </c>
      <c r="I25" s="3">
        <f>E25*G25</f>
        <v>36</v>
      </c>
      <c r="J25" s="3">
        <f>(F25 - G25) * E25</f>
        <v>24</v>
      </c>
    </row>
    <row r="26" spans="1:10" x14ac:dyDescent="0.35">
      <c r="A26" t="s">
        <v>37</v>
      </c>
      <c r="B26" s="2">
        <v>46080</v>
      </c>
      <c r="C26" t="s">
        <v>85</v>
      </c>
      <c r="D26" t="s">
        <v>9</v>
      </c>
      <c r="E26">
        <v>2</v>
      </c>
      <c r="F26" s="3">
        <f>_xlfn.XLOOKUP(C26, Products!$A$2:$A$11, Products!$G$2:$G$11)</f>
        <v>14.5</v>
      </c>
      <c r="G26">
        <f>_xlfn.XLOOKUP(C26, Products!$A$2:$A$11, Products!$F$2:$F$11)</f>
        <v>8.6999999999999993</v>
      </c>
      <c r="H26" s="3">
        <f>E26*F26</f>
        <v>29</v>
      </c>
      <c r="I26" s="3">
        <f>E26*G26</f>
        <v>17.399999999999999</v>
      </c>
      <c r="J26" s="3">
        <f>(F26 - G26) * E26</f>
        <v>11.600000000000001</v>
      </c>
    </row>
    <row r="27" spans="1:10" x14ac:dyDescent="0.35">
      <c r="A27" t="s">
        <v>38</v>
      </c>
      <c r="B27" s="2">
        <v>46080</v>
      </c>
      <c r="C27" t="s">
        <v>88</v>
      </c>
      <c r="D27" t="s">
        <v>19</v>
      </c>
      <c r="E27">
        <v>1</v>
      </c>
      <c r="F27" s="3">
        <f>_xlfn.XLOOKUP(C27, Products!$A$2:$A$11, Products!$G$2:$G$11)</f>
        <v>20</v>
      </c>
      <c r="G27">
        <f>_xlfn.XLOOKUP(C27, Products!$A$2:$A$11, Products!$F$2:$F$11)</f>
        <v>12</v>
      </c>
      <c r="H27" s="3">
        <f>E27*F27</f>
        <v>20</v>
      </c>
      <c r="I27" s="3">
        <f>E27*G27</f>
        <v>12</v>
      </c>
      <c r="J27" s="3">
        <f>(F27 - G27) * E27</f>
        <v>8</v>
      </c>
    </row>
    <row r="28" spans="1:10" x14ac:dyDescent="0.35">
      <c r="A28" t="s">
        <v>39</v>
      </c>
      <c r="B28" s="2">
        <v>46081</v>
      </c>
      <c r="C28" t="s">
        <v>91</v>
      </c>
      <c r="D28" t="s">
        <v>21</v>
      </c>
      <c r="E28">
        <v>6</v>
      </c>
      <c r="F28" s="3">
        <f>_xlfn.XLOOKUP(C28, Products!$A$2:$A$11, Products!$G$2:$G$11)</f>
        <v>25</v>
      </c>
      <c r="G28">
        <f>_xlfn.XLOOKUP(C28, Products!$A$2:$A$11, Products!$F$2:$F$11)</f>
        <v>15</v>
      </c>
      <c r="H28" s="3">
        <f>E28*F28</f>
        <v>150</v>
      </c>
      <c r="I28" s="3">
        <f>E28*G28</f>
        <v>90</v>
      </c>
      <c r="J28" s="3">
        <f>(F28 - G28) * E28</f>
        <v>60</v>
      </c>
    </row>
    <row r="29" spans="1:10" x14ac:dyDescent="0.35">
      <c r="A29" t="s">
        <v>40</v>
      </c>
      <c r="B29" s="2">
        <v>46081</v>
      </c>
      <c r="C29" t="s">
        <v>94</v>
      </c>
      <c r="D29" t="s">
        <v>9</v>
      </c>
      <c r="E29">
        <v>3</v>
      </c>
      <c r="F29" s="3">
        <f>_xlfn.XLOOKUP(C29, Products!$A$2:$A$11, Products!$G$2:$G$11)</f>
        <v>11</v>
      </c>
      <c r="G29">
        <f>_xlfn.XLOOKUP(C29, Products!$A$2:$A$11, Products!$F$2:$F$11)</f>
        <v>6.6</v>
      </c>
      <c r="H29" s="3">
        <f>E29*F29</f>
        <v>33</v>
      </c>
      <c r="I29" s="3">
        <f>E29*G29</f>
        <v>19.799999999999997</v>
      </c>
      <c r="J29" s="3">
        <f>(F29 - G29) * E29</f>
        <v>13.200000000000001</v>
      </c>
    </row>
    <row r="30" spans="1:10" x14ac:dyDescent="0.35">
      <c r="A30" t="s">
        <v>41</v>
      </c>
      <c r="B30" s="2">
        <v>46082</v>
      </c>
      <c r="C30" t="s">
        <v>97</v>
      </c>
      <c r="D30" t="s">
        <v>19</v>
      </c>
      <c r="E30">
        <v>5</v>
      </c>
      <c r="F30" s="3">
        <f>_xlfn.XLOOKUP(C30, Products!$A$2:$A$11, Products!$G$2:$G$11)</f>
        <v>16</v>
      </c>
      <c r="G30">
        <f>_xlfn.XLOOKUP(C30, Products!$A$2:$A$11, Products!$F$2:$F$11)</f>
        <v>9.6</v>
      </c>
      <c r="H30" s="3">
        <f>E30*F30</f>
        <v>80</v>
      </c>
      <c r="I30" s="3">
        <f>E30*G30</f>
        <v>48</v>
      </c>
      <c r="J30" s="3">
        <f>(F30 - G30) * E30</f>
        <v>32</v>
      </c>
    </row>
    <row r="31" spans="1:10" x14ac:dyDescent="0.35">
      <c r="A31" t="s">
        <v>42</v>
      </c>
      <c r="B31" s="2">
        <v>46082</v>
      </c>
      <c r="C31" t="s">
        <v>6</v>
      </c>
      <c r="D31" t="s">
        <v>21</v>
      </c>
      <c r="E31">
        <v>10</v>
      </c>
      <c r="F31" s="3">
        <f>_xlfn.XLOOKUP(C31, Products!$A$2:$A$11, Products!$G$2:$G$11)</f>
        <v>22.5</v>
      </c>
      <c r="G31">
        <f>_xlfn.XLOOKUP(C31, Products!$A$2:$A$11, Products!$F$2:$F$11)</f>
        <v>13.5</v>
      </c>
      <c r="H31" s="3">
        <f>E31*F31</f>
        <v>225</v>
      </c>
      <c r="I31" s="3">
        <f>E31*G31</f>
        <v>135</v>
      </c>
      <c r="J31" s="3">
        <f>(F31 - G31) * E31</f>
        <v>90</v>
      </c>
    </row>
    <row r="32" spans="1:10" x14ac:dyDescent="0.35">
      <c r="A32" t="s">
        <v>43</v>
      </c>
      <c r="B32" s="2">
        <v>46083</v>
      </c>
      <c r="C32" t="s">
        <v>13</v>
      </c>
      <c r="D32" t="s">
        <v>9</v>
      </c>
      <c r="E32">
        <v>4</v>
      </c>
      <c r="F32" s="3">
        <f>_xlfn.XLOOKUP(C32, Products!$A$2:$A$11, Products!$G$2:$G$11)</f>
        <v>10</v>
      </c>
      <c r="G32">
        <f>_xlfn.XLOOKUP(C32, Products!$A$2:$A$11, Products!$F$2:$F$11)</f>
        <v>6</v>
      </c>
      <c r="H32" s="3">
        <f>E32*F32</f>
        <v>40</v>
      </c>
      <c r="I32" s="3">
        <f>E32*G32</f>
        <v>24</v>
      </c>
      <c r="J32" s="3">
        <f>(F32 - G32) * E32</f>
        <v>16</v>
      </c>
    </row>
    <row r="33" spans="1:10" x14ac:dyDescent="0.35">
      <c r="A33" t="s">
        <v>44</v>
      </c>
      <c r="B33" s="2">
        <v>46083</v>
      </c>
      <c r="C33" t="s">
        <v>17</v>
      </c>
      <c r="D33" t="s">
        <v>19</v>
      </c>
      <c r="E33">
        <v>2</v>
      </c>
      <c r="F33" s="3">
        <f>_xlfn.XLOOKUP(C33, Products!$A$2:$A$11, Products!$G$2:$G$11)</f>
        <v>18</v>
      </c>
      <c r="G33">
        <f>_xlfn.XLOOKUP(C33, Products!$A$2:$A$11, Products!$F$2:$F$11)</f>
        <v>10.799999999999999</v>
      </c>
      <c r="H33" s="3">
        <f>E33*F33</f>
        <v>36</v>
      </c>
      <c r="I33" s="3">
        <f>E33*G33</f>
        <v>21.599999999999998</v>
      </c>
      <c r="J33" s="3">
        <f>(F33 - G33) * E33</f>
        <v>14.400000000000002</v>
      </c>
    </row>
    <row r="34" spans="1:10" x14ac:dyDescent="0.35">
      <c r="A34" t="s">
        <v>45</v>
      </c>
      <c r="B34" s="2">
        <v>46084</v>
      </c>
      <c r="C34" t="s">
        <v>15</v>
      </c>
      <c r="D34" t="s">
        <v>21</v>
      </c>
      <c r="E34">
        <v>7</v>
      </c>
      <c r="F34" s="3">
        <f>_xlfn.XLOOKUP(C34, Products!$A$2:$A$11, Products!$G$2:$G$11)</f>
        <v>12</v>
      </c>
      <c r="G34">
        <f>_xlfn.XLOOKUP(C34, Products!$A$2:$A$11, Products!$F$2:$F$11)</f>
        <v>7.1999999999999993</v>
      </c>
      <c r="H34" s="3">
        <f>E34*F34</f>
        <v>84</v>
      </c>
      <c r="I34" s="3">
        <f>E34*G34</f>
        <v>50.399999999999991</v>
      </c>
      <c r="J34" s="3">
        <f>(F34 - G34) * E34</f>
        <v>33.600000000000009</v>
      </c>
    </row>
    <row r="35" spans="1:10" x14ac:dyDescent="0.35">
      <c r="A35" t="s">
        <v>46</v>
      </c>
      <c r="B35" s="2">
        <v>46084</v>
      </c>
      <c r="C35" t="s">
        <v>8</v>
      </c>
      <c r="D35" t="s">
        <v>19</v>
      </c>
      <c r="E35">
        <v>3</v>
      </c>
      <c r="F35" s="3">
        <f>_xlfn.XLOOKUP(C35, Products!$A$2:$A$11, Products!$G$2:$G$11)</f>
        <v>15</v>
      </c>
      <c r="G35">
        <f>_xlfn.XLOOKUP(C35, Products!$A$2:$A$11, Products!$F$2:$F$11)</f>
        <v>9</v>
      </c>
      <c r="H35" s="3">
        <f>E35*F35</f>
        <v>45</v>
      </c>
      <c r="I35" s="3">
        <f>E35*G35</f>
        <v>27</v>
      </c>
      <c r="J35" s="3">
        <f>(F35 - G35) * E35</f>
        <v>18</v>
      </c>
    </row>
    <row r="36" spans="1:10" x14ac:dyDescent="0.35">
      <c r="A36" t="s">
        <v>47</v>
      </c>
      <c r="B36" s="2">
        <v>46085</v>
      </c>
      <c r="C36" t="s">
        <v>85</v>
      </c>
      <c r="D36" t="s">
        <v>9</v>
      </c>
      <c r="E36">
        <v>8</v>
      </c>
      <c r="F36" s="3">
        <f>_xlfn.XLOOKUP(C36, Products!$A$2:$A$11, Products!$G$2:$G$11)</f>
        <v>14.5</v>
      </c>
      <c r="G36">
        <f>_xlfn.XLOOKUP(C36, Products!$A$2:$A$11, Products!$F$2:$F$11)</f>
        <v>8.6999999999999993</v>
      </c>
      <c r="H36" s="3">
        <f>E36*F36</f>
        <v>116</v>
      </c>
      <c r="I36" s="3">
        <f>E36*G36</f>
        <v>69.599999999999994</v>
      </c>
      <c r="J36" s="3">
        <f>(F36 - G36) * E36</f>
        <v>46.400000000000006</v>
      </c>
    </row>
    <row r="37" spans="1:10" x14ac:dyDescent="0.35">
      <c r="A37" t="s">
        <v>48</v>
      </c>
      <c r="B37" s="2">
        <v>46085</v>
      </c>
      <c r="C37" t="s">
        <v>88</v>
      </c>
      <c r="D37" t="s">
        <v>19</v>
      </c>
      <c r="E37">
        <v>2</v>
      </c>
      <c r="F37" s="3">
        <f>_xlfn.XLOOKUP(C37, Products!$A$2:$A$11, Products!$G$2:$G$11)</f>
        <v>20</v>
      </c>
      <c r="G37">
        <f>_xlfn.XLOOKUP(C37, Products!$A$2:$A$11, Products!$F$2:$F$11)</f>
        <v>12</v>
      </c>
      <c r="H37" s="3">
        <f>E37*F37</f>
        <v>40</v>
      </c>
      <c r="I37" s="3">
        <f>E37*G37</f>
        <v>24</v>
      </c>
      <c r="J37" s="3">
        <f>(F37 - G37) * E37</f>
        <v>16</v>
      </c>
    </row>
    <row r="38" spans="1:10" x14ac:dyDescent="0.35">
      <c r="A38" t="s">
        <v>49</v>
      </c>
      <c r="B38" s="2">
        <v>46086</v>
      </c>
      <c r="C38" t="s">
        <v>91</v>
      </c>
      <c r="D38" t="s">
        <v>21</v>
      </c>
      <c r="E38">
        <v>5</v>
      </c>
      <c r="F38" s="3">
        <f>_xlfn.XLOOKUP(C38, Products!$A$2:$A$11, Products!$G$2:$G$11)</f>
        <v>25</v>
      </c>
      <c r="G38">
        <f>_xlfn.XLOOKUP(C38, Products!$A$2:$A$11, Products!$F$2:$F$11)</f>
        <v>15</v>
      </c>
      <c r="H38" s="3">
        <f>E38*F38</f>
        <v>125</v>
      </c>
      <c r="I38" s="3">
        <f>E38*G38</f>
        <v>75</v>
      </c>
      <c r="J38" s="3">
        <f>(F38 - G38) * E38</f>
        <v>50</v>
      </c>
    </row>
    <row r="39" spans="1:10" x14ac:dyDescent="0.35">
      <c r="A39" t="s">
        <v>50</v>
      </c>
      <c r="B39" s="2">
        <v>46086</v>
      </c>
      <c r="C39" t="s">
        <v>94</v>
      </c>
      <c r="D39" t="s">
        <v>9</v>
      </c>
      <c r="E39">
        <v>4</v>
      </c>
      <c r="F39" s="3">
        <f>_xlfn.XLOOKUP(C39, Products!$A$2:$A$11, Products!$G$2:$G$11)</f>
        <v>11</v>
      </c>
      <c r="G39">
        <f>_xlfn.XLOOKUP(C39, Products!$A$2:$A$11, Products!$F$2:$F$11)</f>
        <v>6.6</v>
      </c>
      <c r="H39" s="3">
        <f>E39*F39</f>
        <v>44</v>
      </c>
      <c r="I39" s="3">
        <f>E39*G39</f>
        <v>26.4</v>
      </c>
      <c r="J39" s="3">
        <f>(F39 - G39) * E39</f>
        <v>17.600000000000001</v>
      </c>
    </row>
    <row r="40" spans="1:10" x14ac:dyDescent="0.35">
      <c r="A40" t="s">
        <v>51</v>
      </c>
      <c r="B40" s="2">
        <v>46087</v>
      </c>
      <c r="C40" t="s">
        <v>97</v>
      </c>
      <c r="D40" t="s">
        <v>19</v>
      </c>
      <c r="E40">
        <v>6</v>
      </c>
      <c r="F40" s="3">
        <f>_xlfn.XLOOKUP(C40, Products!$A$2:$A$11, Products!$G$2:$G$11)</f>
        <v>16</v>
      </c>
      <c r="G40">
        <f>_xlfn.XLOOKUP(C40, Products!$A$2:$A$11, Products!$F$2:$F$11)</f>
        <v>9.6</v>
      </c>
      <c r="H40" s="3">
        <f>E40*F40</f>
        <v>96</v>
      </c>
      <c r="I40" s="3">
        <f>E40*G40</f>
        <v>57.599999999999994</v>
      </c>
      <c r="J40" s="3">
        <f>(F40 - G40) * E40</f>
        <v>38.400000000000006</v>
      </c>
    </row>
    <row r="41" spans="1:10" x14ac:dyDescent="0.35">
      <c r="A41" t="s">
        <v>52</v>
      </c>
      <c r="B41" s="2">
        <v>46087</v>
      </c>
      <c r="C41" t="s">
        <v>6</v>
      </c>
      <c r="D41" t="s">
        <v>21</v>
      </c>
      <c r="E41">
        <v>1</v>
      </c>
      <c r="F41" s="3">
        <f>_xlfn.XLOOKUP(C41, Products!$A$2:$A$11, Products!$G$2:$G$11)</f>
        <v>22.5</v>
      </c>
      <c r="G41">
        <f>_xlfn.XLOOKUP(C41, Products!$A$2:$A$11, Products!$F$2:$F$11)</f>
        <v>13.5</v>
      </c>
      <c r="H41" s="3">
        <f>E41*F41</f>
        <v>22.5</v>
      </c>
      <c r="I41" s="3">
        <f>E41*G41</f>
        <v>13.5</v>
      </c>
      <c r="J41" s="3">
        <f>(F41 - G41) * E41</f>
        <v>9</v>
      </c>
    </row>
    <row r="42" spans="1:10" x14ac:dyDescent="0.35">
      <c r="A42" t="s">
        <v>53</v>
      </c>
      <c r="B42" s="2">
        <v>46088</v>
      </c>
      <c r="C42" t="s">
        <v>13</v>
      </c>
      <c r="D42" t="s">
        <v>9</v>
      </c>
      <c r="E42">
        <v>9</v>
      </c>
      <c r="F42" s="3">
        <f>_xlfn.XLOOKUP(C42, Products!$A$2:$A$11, Products!$G$2:$G$11)</f>
        <v>10</v>
      </c>
      <c r="G42">
        <f>_xlfn.XLOOKUP(C42, Products!$A$2:$A$11, Products!$F$2:$F$11)</f>
        <v>6</v>
      </c>
      <c r="H42" s="3">
        <f>E42*F42</f>
        <v>90</v>
      </c>
      <c r="I42" s="3">
        <f>E42*G42</f>
        <v>54</v>
      </c>
      <c r="J42" s="3">
        <f>(F42 - G42) * E42</f>
        <v>36</v>
      </c>
    </row>
    <row r="43" spans="1:10" x14ac:dyDescent="0.35">
      <c r="A43" t="s">
        <v>54</v>
      </c>
      <c r="B43" s="2">
        <v>46088</v>
      </c>
      <c r="C43" t="s">
        <v>17</v>
      </c>
      <c r="D43" t="s">
        <v>19</v>
      </c>
      <c r="E43">
        <v>3</v>
      </c>
      <c r="F43" s="3">
        <f>_xlfn.XLOOKUP(C43, Products!$A$2:$A$11, Products!$G$2:$G$11)</f>
        <v>18</v>
      </c>
      <c r="G43">
        <f>_xlfn.XLOOKUP(C43, Products!$A$2:$A$11, Products!$F$2:$F$11)</f>
        <v>10.799999999999999</v>
      </c>
      <c r="H43" s="3">
        <f>E43*F43</f>
        <v>54</v>
      </c>
      <c r="I43" s="3">
        <f>E43*G43</f>
        <v>32.4</v>
      </c>
      <c r="J43" s="3">
        <f>(F43 - G43) * E43</f>
        <v>21.6</v>
      </c>
    </row>
    <row r="44" spans="1:10" x14ac:dyDescent="0.35">
      <c r="A44" t="s">
        <v>55</v>
      </c>
      <c r="B44" s="2">
        <v>46089</v>
      </c>
      <c r="C44" t="s">
        <v>15</v>
      </c>
      <c r="D44" t="s">
        <v>21</v>
      </c>
      <c r="E44">
        <v>2</v>
      </c>
      <c r="F44" s="3">
        <f>_xlfn.XLOOKUP(C44, Products!$A$2:$A$11, Products!$G$2:$G$11)</f>
        <v>12</v>
      </c>
      <c r="G44">
        <f>_xlfn.XLOOKUP(C44, Products!$A$2:$A$11, Products!$F$2:$F$11)</f>
        <v>7.1999999999999993</v>
      </c>
      <c r="H44" s="3">
        <f>E44*F44</f>
        <v>24</v>
      </c>
      <c r="I44" s="3">
        <f>E44*G44</f>
        <v>14.399999999999999</v>
      </c>
      <c r="J44" s="3">
        <f>(F44 - G44) * E44</f>
        <v>9.6000000000000014</v>
      </c>
    </row>
    <row r="45" spans="1:10" x14ac:dyDescent="0.35">
      <c r="A45" t="s">
        <v>56</v>
      </c>
      <c r="B45" s="2">
        <v>46089</v>
      </c>
      <c r="C45" t="s">
        <v>8</v>
      </c>
      <c r="D45" t="s">
        <v>19</v>
      </c>
      <c r="E45">
        <v>5</v>
      </c>
      <c r="F45" s="3">
        <f>_xlfn.XLOOKUP(C45, Products!$A$2:$A$11, Products!$G$2:$G$11)</f>
        <v>15</v>
      </c>
      <c r="G45">
        <f>_xlfn.XLOOKUP(C45, Products!$A$2:$A$11, Products!$F$2:$F$11)</f>
        <v>9</v>
      </c>
      <c r="H45" s="3">
        <f>E45*F45</f>
        <v>75</v>
      </c>
      <c r="I45" s="3">
        <f>E45*G45</f>
        <v>45</v>
      </c>
      <c r="J45" s="3">
        <f>(F45 - G45) * E45</f>
        <v>30</v>
      </c>
    </row>
    <row r="46" spans="1:10" x14ac:dyDescent="0.35">
      <c r="A46" t="s">
        <v>57</v>
      </c>
      <c r="B46" s="2">
        <v>46090</v>
      </c>
      <c r="C46" t="s">
        <v>85</v>
      </c>
      <c r="D46" t="s">
        <v>9</v>
      </c>
      <c r="E46">
        <v>4</v>
      </c>
      <c r="F46" s="3">
        <f>_xlfn.XLOOKUP(C46, Products!$A$2:$A$11, Products!$G$2:$G$11)</f>
        <v>14.5</v>
      </c>
      <c r="G46">
        <f>_xlfn.XLOOKUP(C46, Products!$A$2:$A$11, Products!$F$2:$F$11)</f>
        <v>8.6999999999999993</v>
      </c>
      <c r="H46" s="3">
        <f>E46*F46</f>
        <v>58</v>
      </c>
      <c r="I46" s="3">
        <f>E46*G46</f>
        <v>34.799999999999997</v>
      </c>
      <c r="J46" s="3">
        <f>(F46 - G46) * E46</f>
        <v>23.200000000000003</v>
      </c>
    </row>
    <row r="47" spans="1:10" x14ac:dyDescent="0.35">
      <c r="A47" t="s">
        <v>58</v>
      </c>
      <c r="B47" s="2">
        <v>46090</v>
      </c>
      <c r="C47" t="s">
        <v>88</v>
      </c>
      <c r="D47" t="s">
        <v>19</v>
      </c>
      <c r="E47">
        <v>7</v>
      </c>
      <c r="F47" s="3">
        <f>_xlfn.XLOOKUP(C47, Products!$A$2:$A$11, Products!$G$2:$G$11)</f>
        <v>20</v>
      </c>
      <c r="G47">
        <f>_xlfn.XLOOKUP(C47, Products!$A$2:$A$11, Products!$F$2:$F$11)</f>
        <v>12</v>
      </c>
      <c r="H47" s="3">
        <f>E47*F47</f>
        <v>140</v>
      </c>
      <c r="I47" s="3">
        <f>E47*G47</f>
        <v>84</v>
      </c>
      <c r="J47" s="3">
        <f>(F47 - G47) * E47</f>
        <v>56</v>
      </c>
    </row>
    <row r="48" spans="1:10" x14ac:dyDescent="0.35">
      <c r="A48" t="s">
        <v>59</v>
      </c>
      <c r="B48" s="2">
        <v>46091</v>
      </c>
      <c r="C48" t="s">
        <v>91</v>
      </c>
      <c r="D48" t="s">
        <v>21</v>
      </c>
      <c r="E48">
        <v>1</v>
      </c>
      <c r="F48" s="3">
        <f>_xlfn.XLOOKUP(C48, Products!$A$2:$A$11, Products!$G$2:$G$11)</f>
        <v>25</v>
      </c>
      <c r="G48">
        <f>_xlfn.XLOOKUP(C48, Products!$A$2:$A$11, Products!$F$2:$F$11)</f>
        <v>15</v>
      </c>
      <c r="H48" s="3">
        <f>E48*F48</f>
        <v>25</v>
      </c>
      <c r="I48" s="3">
        <f>E48*G48</f>
        <v>15</v>
      </c>
      <c r="J48" s="3">
        <f>(F48 - G48) * E48</f>
        <v>10</v>
      </c>
    </row>
    <row r="49" spans="1:10" x14ac:dyDescent="0.35">
      <c r="A49" t="s">
        <v>60</v>
      </c>
      <c r="B49" s="2">
        <v>46091</v>
      </c>
      <c r="C49" t="s">
        <v>94</v>
      </c>
      <c r="D49" t="s">
        <v>9</v>
      </c>
      <c r="E49">
        <v>12</v>
      </c>
      <c r="F49" s="3">
        <f>_xlfn.XLOOKUP(C49, Products!$A$2:$A$11, Products!$G$2:$G$11)</f>
        <v>11</v>
      </c>
      <c r="G49">
        <f>_xlfn.XLOOKUP(C49, Products!$A$2:$A$11, Products!$F$2:$F$11)</f>
        <v>6.6</v>
      </c>
      <c r="H49" s="3">
        <f>E49*F49</f>
        <v>132</v>
      </c>
      <c r="I49" s="3">
        <f>E49*G49</f>
        <v>79.199999999999989</v>
      </c>
      <c r="J49" s="3">
        <f>(F49 - G49) * E49</f>
        <v>52.800000000000004</v>
      </c>
    </row>
    <row r="50" spans="1:10" x14ac:dyDescent="0.35">
      <c r="A50" t="s">
        <v>61</v>
      </c>
      <c r="B50" s="2">
        <v>46092</v>
      </c>
      <c r="C50" t="s">
        <v>97</v>
      </c>
      <c r="D50" t="s">
        <v>19</v>
      </c>
      <c r="E50">
        <v>3</v>
      </c>
      <c r="F50" s="3">
        <f>_xlfn.XLOOKUP(C50, Products!$A$2:$A$11, Products!$G$2:$G$11)</f>
        <v>16</v>
      </c>
      <c r="G50">
        <f>_xlfn.XLOOKUP(C50, Products!$A$2:$A$11, Products!$F$2:$F$11)</f>
        <v>9.6</v>
      </c>
      <c r="H50" s="3">
        <f>E50*F50</f>
        <v>48</v>
      </c>
      <c r="I50" s="3">
        <f>E50*G50</f>
        <v>28.799999999999997</v>
      </c>
      <c r="J50" s="3">
        <f>(F50 - G50) * E50</f>
        <v>19.200000000000003</v>
      </c>
    </row>
    <row r="51" spans="1:10" x14ac:dyDescent="0.35">
      <c r="A51" t="s">
        <v>62</v>
      </c>
      <c r="B51" s="2">
        <v>46092</v>
      </c>
      <c r="C51" t="s">
        <v>6</v>
      </c>
      <c r="D51" t="s">
        <v>21</v>
      </c>
      <c r="E51">
        <v>6</v>
      </c>
      <c r="F51" s="3">
        <f>_xlfn.XLOOKUP(C51, Products!$A$2:$A$11, Products!$G$2:$G$11)</f>
        <v>22.5</v>
      </c>
      <c r="G51">
        <f>_xlfn.XLOOKUP(C51, Products!$A$2:$A$11, Products!$F$2:$F$11)</f>
        <v>13.5</v>
      </c>
      <c r="H51" s="3">
        <f>E51*F51</f>
        <v>135</v>
      </c>
      <c r="I51" s="3">
        <f>E51*G51</f>
        <v>81</v>
      </c>
      <c r="J51" s="3">
        <f>(F51 - G51) * E51</f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D1DD-5E82-4FC6-ABA1-4707618A5EAE}">
  <dimension ref="A1:G11"/>
  <sheetViews>
    <sheetView workbookViewId="0">
      <selection activeCell="E1" sqref="E1:E1048576"/>
    </sheetView>
  </sheetViews>
  <sheetFormatPr defaultRowHeight="14.5" x14ac:dyDescent="0.35"/>
  <cols>
    <col min="1" max="1" width="9.54296875" customWidth="1"/>
    <col min="2" max="2" width="22.36328125" customWidth="1"/>
    <col min="3" max="3" width="10.6328125" customWidth="1"/>
    <col min="5" max="5" width="13.6328125" customWidth="1"/>
  </cols>
  <sheetData>
    <row r="1" spans="1:7" x14ac:dyDescent="0.35">
      <c r="A1" s="1" t="s">
        <v>2</v>
      </c>
      <c r="B1" s="1" t="s">
        <v>63</v>
      </c>
      <c r="C1" s="1" t="s">
        <v>64</v>
      </c>
      <c r="D1" s="1" t="s">
        <v>65</v>
      </c>
      <c r="E1" s="1" t="s">
        <v>84</v>
      </c>
      <c r="F1" s="1" t="s">
        <v>102</v>
      </c>
      <c r="G1" s="1" t="s">
        <v>66</v>
      </c>
    </row>
    <row r="2" spans="1:7" x14ac:dyDescent="0.35">
      <c r="A2" t="s">
        <v>6</v>
      </c>
      <c r="B2" t="s">
        <v>67</v>
      </c>
      <c r="C2" t="s">
        <v>68</v>
      </c>
      <c r="D2" t="s">
        <v>69</v>
      </c>
      <c r="E2">
        <v>15</v>
      </c>
      <c r="F2" s="4">
        <f>Tab_Products[[#This Row],[Price]]*0.6</f>
        <v>13.5</v>
      </c>
      <c r="G2" s="3">
        <v>22.5</v>
      </c>
    </row>
    <row r="3" spans="1:7" x14ac:dyDescent="0.35">
      <c r="A3" t="s">
        <v>17</v>
      </c>
      <c r="B3" t="s">
        <v>70</v>
      </c>
      <c r="C3" t="s">
        <v>71</v>
      </c>
      <c r="D3" t="s">
        <v>72</v>
      </c>
      <c r="E3">
        <v>8</v>
      </c>
      <c r="F3" s="4">
        <f>Tab_Products[[#This Row],[Price]]*0.6</f>
        <v>10.799999999999999</v>
      </c>
      <c r="G3" s="3">
        <v>18</v>
      </c>
    </row>
    <row r="4" spans="1:7" x14ac:dyDescent="0.35">
      <c r="A4" t="s">
        <v>8</v>
      </c>
      <c r="B4" t="s">
        <v>73</v>
      </c>
      <c r="C4" t="s">
        <v>74</v>
      </c>
      <c r="D4" t="s">
        <v>69</v>
      </c>
      <c r="E4">
        <v>0</v>
      </c>
      <c r="F4" s="4">
        <f>Tab_Products[[#This Row],[Price]]*0.6</f>
        <v>9</v>
      </c>
      <c r="G4" s="3">
        <v>15</v>
      </c>
    </row>
    <row r="5" spans="1:7" x14ac:dyDescent="0.35">
      <c r="A5" t="s">
        <v>15</v>
      </c>
      <c r="B5" t="s">
        <v>75</v>
      </c>
      <c r="C5" t="s">
        <v>76</v>
      </c>
      <c r="D5" t="s">
        <v>72</v>
      </c>
      <c r="E5">
        <v>12</v>
      </c>
      <c r="F5" s="4">
        <f>Tab_Products[[#This Row],[Price]]*0.6</f>
        <v>7.1999999999999993</v>
      </c>
      <c r="G5" s="3">
        <v>12</v>
      </c>
    </row>
    <row r="6" spans="1:7" x14ac:dyDescent="0.35">
      <c r="A6" t="s">
        <v>13</v>
      </c>
      <c r="B6" t="s">
        <v>77</v>
      </c>
      <c r="C6" t="s">
        <v>78</v>
      </c>
      <c r="D6" t="s">
        <v>72</v>
      </c>
      <c r="E6">
        <v>5</v>
      </c>
      <c r="F6" s="4">
        <f>Tab_Products[[#This Row],[Price]]*0.6</f>
        <v>6</v>
      </c>
      <c r="G6" s="3">
        <v>10</v>
      </c>
    </row>
    <row r="7" spans="1:7" x14ac:dyDescent="0.35">
      <c r="A7" t="s">
        <v>85</v>
      </c>
      <c r="B7" t="s">
        <v>86</v>
      </c>
      <c r="C7" t="s">
        <v>87</v>
      </c>
      <c r="D7" t="s">
        <v>69</v>
      </c>
      <c r="E7">
        <v>20</v>
      </c>
      <c r="F7" s="4">
        <f>Tab_Products[[#This Row],[Price]]*0.6</f>
        <v>8.6999999999999993</v>
      </c>
      <c r="G7" s="3">
        <v>14.5</v>
      </c>
    </row>
    <row r="8" spans="1:7" x14ac:dyDescent="0.35">
      <c r="A8" t="s">
        <v>88</v>
      </c>
      <c r="B8" t="s">
        <v>89</v>
      </c>
      <c r="C8" t="s">
        <v>90</v>
      </c>
      <c r="D8" t="s">
        <v>72</v>
      </c>
      <c r="E8">
        <v>0</v>
      </c>
      <c r="F8" s="4">
        <f>Tab_Products[[#This Row],[Price]]*0.6</f>
        <v>12</v>
      </c>
      <c r="G8" s="3">
        <v>20</v>
      </c>
    </row>
    <row r="9" spans="1:7" x14ac:dyDescent="0.35">
      <c r="A9" t="s">
        <v>91</v>
      </c>
      <c r="B9" t="s">
        <v>92</v>
      </c>
      <c r="C9" t="s">
        <v>93</v>
      </c>
      <c r="D9" t="s">
        <v>69</v>
      </c>
      <c r="E9">
        <v>4</v>
      </c>
      <c r="F9" s="4">
        <f>Tab_Products[[#This Row],[Price]]*0.6</f>
        <v>15</v>
      </c>
      <c r="G9" s="3">
        <v>25</v>
      </c>
    </row>
    <row r="10" spans="1:7" x14ac:dyDescent="0.35">
      <c r="A10" t="s">
        <v>94</v>
      </c>
      <c r="B10" t="s">
        <v>95</v>
      </c>
      <c r="C10" t="s">
        <v>96</v>
      </c>
      <c r="D10" t="s">
        <v>72</v>
      </c>
      <c r="E10">
        <v>30</v>
      </c>
      <c r="F10" s="4">
        <f>Tab_Products[[#This Row],[Price]]*0.6</f>
        <v>6.6</v>
      </c>
      <c r="G10" s="3">
        <v>11</v>
      </c>
    </row>
    <row r="11" spans="1:7" x14ac:dyDescent="0.35">
      <c r="A11" t="s">
        <v>97</v>
      </c>
      <c r="B11" t="s">
        <v>98</v>
      </c>
      <c r="C11" t="s">
        <v>99</v>
      </c>
      <c r="D11" t="s">
        <v>69</v>
      </c>
      <c r="E11">
        <v>0</v>
      </c>
      <c r="F11" s="4">
        <f>Tab_Products[[#This Row],[Price]]*0.6</f>
        <v>9.6</v>
      </c>
      <c r="G11" s="3">
        <v>16</v>
      </c>
    </row>
  </sheetData>
  <conditionalFormatting sqref="A1:G11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0F1B-A64F-4EE5-BD30-E8550143A0E2}">
  <dimension ref="A1:C4"/>
  <sheetViews>
    <sheetView workbookViewId="0">
      <selection activeCell="B18" sqref="B18:B19"/>
    </sheetView>
  </sheetViews>
  <sheetFormatPr defaultRowHeight="14.5" x14ac:dyDescent="0.35"/>
  <cols>
    <col min="1" max="1" width="15.1796875" customWidth="1"/>
    <col min="2" max="2" width="9.90625" customWidth="1"/>
    <col min="3" max="3" width="12.7265625" customWidth="1"/>
  </cols>
  <sheetData>
    <row r="1" spans="1:3" x14ac:dyDescent="0.35">
      <c r="A1" s="1" t="s">
        <v>4</v>
      </c>
      <c r="B1" s="1" t="s">
        <v>79</v>
      </c>
      <c r="C1" s="1" t="s">
        <v>80</v>
      </c>
    </row>
    <row r="2" spans="1:3" x14ac:dyDescent="0.35">
      <c r="A2" t="s">
        <v>19</v>
      </c>
      <c r="B2" t="s">
        <v>81</v>
      </c>
      <c r="C2">
        <v>5</v>
      </c>
    </row>
    <row r="3" spans="1:3" x14ac:dyDescent="0.35">
      <c r="A3" t="s">
        <v>9</v>
      </c>
      <c r="B3" t="s">
        <v>82</v>
      </c>
      <c r="C3">
        <v>12</v>
      </c>
    </row>
    <row r="4" spans="1:3" x14ac:dyDescent="0.35">
      <c r="A4" t="s">
        <v>21</v>
      </c>
      <c r="B4" t="s">
        <v>83</v>
      </c>
      <c r="C4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415A178F-4BA2-4CFB-A0E2-A98697E66808}">
  <ds:schemaRefs/>
</ds:datastoreItem>
</file>

<file path=customXml/itemProps2.xml><?xml version="1.0" encoding="utf-8"?>
<ds:datastoreItem xmlns:ds="http://schemas.openxmlformats.org/officeDocument/2006/customXml" ds:itemID="{417CB7F4-5F74-4C2B-AE5D-4108204BE7AE}">
  <ds:schemaRefs/>
</ds:datastoreItem>
</file>

<file path=customXml/itemProps3.xml><?xml version="1.0" encoding="utf-8"?>
<ds:datastoreItem xmlns:ds="http://schemas.openxmlformats.org/officeDocument/2006/customXml" ds:itemID="{DFE881FB-F9A9-4893-BCF5-39C55A0406F0}">
  <ds:schemaRefs/>
</ds:datastoreItem>
</file>

<file path=customXml/itemProps4.xml><?xml version="1.0" encoding="utf-8"?>
<ds:datastoreItem xmlns:ds="http://schemas.openxmlformats.org/officeDocument/2006/customXml" ds:itemID="{C600F4EC-CE86-4F8B-BA46-98686A3DEFDE}">
  <ds:schemaRefs/>
</ds:datastoreItem>
</file>

<file path=customXml/itemProps5.xml><?xml version="1.0" encoding="utf-8"?>
<ds:datastoreItem xmlns:ds="http://schemas.openxmlformats.org/officeDocument/2006/customXml" ds:itemID="{74B9D5E7-75E4-48CC-8FEB-39340D019D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Syrek</dc:creator>
  <cp:lastModifiedBy>David Syrek</cp:lastModifiedBy>
  <dcterms:created xsi:type="dcterms:W3CDTF">2026-02-19T10:59:51Z</dcterms:created>
  <dcterms:modified xsi:type="dcterms:W3CDTF">2026-02-20T10:21:23Z</dcterms:modified>
</cp:coreProperties>
</file>