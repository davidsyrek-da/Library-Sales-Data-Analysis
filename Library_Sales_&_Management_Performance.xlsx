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syre\OneDrive\Data Aanyltics\Study\Project\"/>
    </mc:Choice>
  </mc:AlternateContent>
  <xr:revisionPtr revIDLastSave="0" documentId="13_ncr:1_{55CDA8F6-5C11-4A9E-A276-A7407A59EB7C}" xr6:coauthVersionLast="47" xr6:coauthVersionMax="47" xr10:uidLastSave="{00000000-0000-0000-0000-000000000000}"/>
  <bookViews>
    <workbookView xWindow="-110" yWindow="-110" windowWidth="25820" windowHeight="15500" xr2:uid="{F9342B97-C0B9-4458-B9E8-8A3C453EABA4}"/>
  </bookViews>
  <sheets>
    <sheet name="Dashboard" sheetId="8" r:id="rId1"/>
    <sheet name="Genre Chart" sheetId="4" r:id="rId2"/>
    <sheet name="Manager Chart" sheetId="6" r:id="rId3"/>
    <sheet name="Efficiency Chart" sheetId="7" r:id="rId4"/>
    <sheet name="Sales" sheetId="1" r:id="rId5"/>
    <sheet name="Products" sheetId="2" r:id="rId6"/>
    <sheet name="Managers" sheetId="3" r:id="rId7"/>
  </sheets>
  <definedNames>
    <definedName name="_xlcn.WorksheetConnection_Book1.xlsxTab_Efficiency" hidden="1">Tab_Efficiency[]</definedName>
    <definedName name="_xlcn.WorksheetConnection_Book1.xlsxTab_Managers" hidden="1">Tab_Managers[]</definedName>
    <definedName name="_xlcn.WorksheetConnection_Book1.xlsxTab_Products" hidden="1">Tab_Products[]</definedName>
    <definedName name="_xlcn.WorksheetConnection_Book1.xlsxTab_Sales" hidden="1">Tab_Sales[]</definedName>
    <definedName name="Slicer_Genre">#N/A</definedName>
  </definedNames>
  <calcPr calcId="191029"/>
  <pivotCaches>
    <pivotCache cacheId="24" r:id="rId8"/>
    <pivotCache cacheId="27" r:id="rId9"/>
    <pivotCache cacheId="30"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_Sales" name="Tab_Sales" connection="WorksheetConnection_Book1.xlsx!Tab_Sales"/>
          <x15:modelTable id="Tab_Products" name="Tab_Products" connection="WorksheetConnection_Book1.xlsx!Tab_Products"/>
          <x15:modelTable id="Tab_Managers" name="Tab_Managers" connection="WorksheetConnection_Book1.xlsx!Tab_Managers"/>
          <x15:modelTable id="Tab_Efficiency" name="Tab_Efficiency" connection="WorksheetConnection_Book1.xlsx!Tab_Efficiency"/>
        </x15:modelTables>
        <x15:modelRelationships>
          <x15:modelRelationship fromTable="Tab_Sales" fromColumn="Book_ID" toTable="Tab_Products" toColumn="Book_ID"/>
          <x15:modelRelationship fromTable="Tab_Sales" fromColumn="Store_Location" toTable="Tab_Managers" toColumn="Store_Loca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1" l="1"/>
  <c r="I8" i="1" s="1"/>
  <c r="G11" i="1"/>
  <c r="G12" i="1"/>
  <c r="G13" i="1"/>
  <c r="I13" i="1" s="1"/>
  <c r="G14" i="1"/>
  <c r="I14" i="1" s="1"/>
  <c r="G17" i="1"/>
  <c r="I17" i="1" s="1"/>
  <c r="G18" i="1"/>
  <c r="I18" i="1" s="1"/>
  <c r="G19" i="1"/>
  <c r="I19" i="1" s="1"/>
  <c r="G20" i="1"/>
  <c r="I20" i="1" s="1"/>
  <c r="G21" i="1"/>
  <c r="I21" i="1" s="1"/>
  <c r="G22" i="1"/>
  <c r="G23" i="1"/>
  <c r="G24" i="1"/>
  <c r="I24" i="1" s="1"/>
  <c r="G25" i="1"/>
  <c r="I25" i="1" s="1"/>
  <c r="G33" i="1"/>
  <c r="I33" i="1" s="1"/>
  <c r="G34" i="1"/>
  <c r="I34" i="1" s="1"/>
  <c r="G35" i="1"/>
  <c r="G36" i="1"/>
  <c r="G37" i="1"/>
  <c r="I37" i="1" s="1"/>
  <c r="G38" i="1"/>
  <c r="I38" i="1" s="1"/>
  <c r="G40" i="1"/>
  <c r="I40" i="1" s="1"/>
  <c r="G41" i="1"/>
  <c r="I41" i="1" s="1"/>
  <c r="G42" i="1"/>
  <c r="I42" i="1" s="1"/>
  <c r="G43" i="1"/>
  <c r="I43" i="1" s="1"/>
  <c r="G44" i="1"/>
  <c r="I44" i="1" s="1"/>
  <c r="G45" i="1"/>
  <c r="I45" i="1" s="1"/>
  <c r="G46" i="1"/>
  <c r="G47" i="1"/>
  <c r="G48" i="1"/>
  <c r="I48" i="1" s="1"/>
  <c r="G49" i="1"/>
  <c r="I49" i="1" s="1"/>
  <c r="F3" i="1"/>
  <c r="H3" i="1" s="1"/>
  <c r="F2" i="1"/>
  <c r="H2" i="1" s="1"/>
  <c r="F4" i="1"/>
  <c r="H4" i="1" s="1"/>
  <c r="F5" i="1"/>
  <c r="H5" i="1" s="1"/>
  <c r="F6" i="1"/>
  <c r="H6" i="1" s="1"/>
  <c r="F7" i="1"/>
  <c r="H7" i="1" s="1"/>
  <c r="F8" i="1"/>
  <c r="H8" i="1" s="1"/>
  <c r="F9" i="1"/>
  <c r="H9" i="1" s="1"/>
  <c r="F10" i="1"/>
  <c r="H10" i="1"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2" i="2"/>
  <c r="G2" i="1" s="1"/>
  <c r="I2" i="1" s="1"/>
  <c r="F3" i="2"/>
  <c r="F4" i="2"/>
  <c r="G3" i="1" s="1"/>
  <c r="I3" i="1" s="1"/>
  <c r="F5" i="2"/>
  <c r="G7" i="1" s="1"/>
  <c r="I7" i="1" s="1"/>
  <c r="F6" i="2"/>
  <c r="G6" i="1" s="1"/>
  <c r="I6" i="1" s="1"/>
  <c r="F7" i="2"/>
  <c r="G26" i="1" s="1"/>
  <c r="I26" i="1" s="1"/>
  <c r="F8" i="2"/>
  <c r="G27" i="1" s="1"/>
  <c r="I27" i="1" s="1"/>
  <c r="F9" i="2"/>
  <c r="G28" i="1" s="1"/>
  <c r="I28" i="1" s="1"/>
  <c r="F10" i="2"/>
  <c r="G29" i="1" s="1"/>
  <c r="I29" i="1" s="1"/>
  <c r="F11" i="2"/>
  <c r="G50" i="1" s="1"/>
  <c r="I50" i="1" s="1"/>
  <c r="B18" i="3"/>
  <c r="B17" i="3"/>
  <c r="B16" i="3"/>
  <c r="D16" i="3" l="1"/>
  <c r="D17" i="3"/>
  <c r="D18" i="3"/>
  <c r="G16" i="1"/>
  <c r="I16" i="1" s="1"/>
  <c r="G39" i="1"/>
  <c r="I39" i="1" s="1"/>
  <c r="G15" i="1"/>
  <c r="I15" i="1" s="1"/>
  <c r="G9" i="1"/>
  <c r="I9" i="1" s="1"/>
  <c r="G32" i="1"/>
  <c r="I32" i="1" s="1"/>
  <c r="G30" i="1"/>
  <c r="I30" i="1" s="1"/>
  <c r="G5" i="1"/>
  <c r="I5" i="1" s="1"/>
  <c r="G51" i="1"/>
  <c r="I51" i="1" s="1"/>
  <c r="G10" i="1"/>
  <c r="I10" i="1" s="1"/>
  <c r="G31" i="1"/>
  <c r="I31" i="1" s="1"/>
  <c r="G4" i="1"/>
  <c r="I4" i="1" s="1"/>
  <c r="J3" i="1"/>
  <c r="J47" i="1"/>
  <c r="J23" i="1"/>
  <c r="J46" i="1"/>
  <c r="J22" i="1"/>
  <c r="J36" i="1"/>
  <c r="J12" i="1"/>
  <c r="I36" i="1"/>
  <c r="J35" i="1"/>
  <c r="J11" i="1"/>
  <c r="I35" i="1"/>
  <c r="J48" i="1"/>
  <c r="J38" i="1"/>
  <c r="J37" i="1"/>
  <c r="I12" i="1"/>
  <c r="J27" i="1"/>
  <c r="I11" i="1"/>
  <c r="J25" i="1"/>
  <c r="J24" i="1"/>
  <c r="J14" i="1"/>
  <c r="J13" i="1"/>
  <c r="I23" i="1"/>
  <c r="I22" i="1"/>
  <c r="I47" i="1"/>
  <c r="I46" i="1"/>
  <c r="J51" i="1"/>
  <c r="J49" i="1"/>
  <c r="J45" i="1"/>
  <c r="J21" i="1"/>
  <c r="J44" i="1"/>
  <c r="J20" i="1"/>
  <c r="J43" i="1"/>
  <c r="J19" i="1"/>
  <c r="J42" i="1"/>
  <c r="J18" i="1"/>
  <c r="J41" i="1"/>
  <c r="J17" i="1"/>
  <c r="J40" i="1"/>
  <c r="J16" i="1"/>
  <c r="J39" i="1"/>
  <c r="J9" i="1"/>
  <c r="J32" i="1"/>
  <c r="J8" i="1"/>
  <c r="J7" i="1"/>
  <c r="J30" i="1"/>
  <c r="J6" i="1"/>
  <c r="J29" i="1"/>
  <c r="J28" i="1"/>
  <c r="J34" i="1"/>
  <c r="J33" i="1"/>
  <c r="J50" i="1"/>
  <c r="J26" i="1"/>
  <c r="J2" i="1"/>
  <c r="J4" i="1" l="1"/>
  <c r="J5" i="1"/>
  <c r="J31" i="1"/>
  <c r="J10" i="1"/>
  <c r="J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56B77C-6DC2-4197-965F-9E3CBA9359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00E9EB-927C-4873-AE3C-85D3B4B35CD5}" name="WorksheetConnection_Book1.xlsx!Tab_Efficiency" type="102" refreshedVersion="8" minRefreshableVersion="5">
    <extLst>
      <ext xmlns:x15="http://schemas.microsoft.com/office/spreadsheetml/2010/11/main" uri="{DE250136-89BD-433C-8126-D09CA5730AF9}">
        <x15:connection id="Tab_Efficiency" autoDelete="1">
          <x15:rangePr sourceName="_xlcn.WorksheetConnection_Book1.xlsxTab_Efficiency"/>
        </x15:connection>
      </ext>
    </extLst>
  </connection>
  <connection id="3" xr16:uid="{4CDDC4A3-9463-4D0C-BEC1-6142F2A657E2}" name="WorksheetConnection_Book1.xlsx!Tab_Managers" type="102" refreshedVersion="8" minRefreshableVersion="5">
    <extLst>
      <ext xmlns:x15="http://schemas.microsoft.com/office/spreadsheetml/2010/11/main" uri="{DE250136-89BD-433C-8126-D09CA5730AF9}">
        <x15:connection id="Tab_Managers">
          <x15:rangePr sourceName="_xlcn.WorksheetConnection_Book1.xlsxTab_Managers"/>
        </x15:connection>
      </ext>
    </extLst>
  </connection>
  <connection id="4" xr16:uid="{D6EFA72A-A2E9-4850-A39B-72151811A42D}" name="WorksheetConnection_Book1.xlsx!Tab_Products" type="102" refreshedVersion="8" minRefreshableVersion="5">
    <extLst>
      <ext xmlns:x15="http://schemas.microsoft.com/office/spreadsheetml/2010/11/main" uri="{DE250136-89BD-433C-8126-D09CA5730AF9}">
        <x15:connection id="Tab_Products">
          <x15:rangePr sourceName="_xlcn.WorksheetConnection_Book1.xlsxTab_Products"/>
        </x15:connection>
      </ext>
    </extLst>
  </connection>
  <connection id="5" xr16:uid="{52938645-4E31-47A6-BAFB-EC7DBBF9EE44}" name="WorksheetConnection_Book1.xlsx!Tab_Sales" type="102" refreshedVersion="8" minRefreshableVersion="5" saveData="1">
    <extLst>
      <ext xmlns:x15="http://schemas.microsoft.com/office/spreadsheetml/2010/11/main" uri="{DE250136-89BD-433C-8126-D09CA5730AF9}">
        <x15:connection id="Tab_Sales">
          <x15:rangePr sourceName="_xlcn.WorksheetConnection_Book1.xlsxTab_Sales"/>
        </x15:connection>
      </ext>
    </extLst>
  </connection>
</connections>
</file>

<file path=xl/sharedStrings.xml><?xml version="1.0" encoding="utf-8"?>
<sst xmlns="http://schemas.openxmlformats.org/spreadsheetml/2006/main" count="241" uniqueCount="113">
  <si>
    <t>Order_ID</t>
  </si>
  <si>
    <t>Date</t>
  </si>
  <si>
    <t>Book_ID</t>
  </si>
  <si>
    <t>Units_Sold</t>
  </si>
  <si>
    <t>Store_Location</t>
  </si>
  <si>
    <t>ORD-101</t>
  </si>
  <si>
    <t>BK001</t>
  </si>
  <si>
    <t>ORD-102</t>
  </si>
  <si>
    <t>BK003</t>
  </si>
  <si>
    <t>London</t>
  </si>
  <si>
    <t>ORD-103</t>
  </si>
  <si>
    <t>ORD-104</t>
  </si>
  <si>
    <t>ORD-105</t>
  </si>
  <si>
    <t>BK005</t>
  </si>
  <si>
    <t>ORD-106</t>
  </si>
  <si>
    <t>BK004</t>
  </si>
  <si>
    <t>ORD-107</t>
  </si>
  <si>
    <t>BK002</t>
  </si>
  <si>
    <t>ORD-108</t>
  </si>
  <si>
    <t>Portsmouth</t>
  </si>
  <si>
    <t>ORD-109</t>
  </si>
  <si>
    <t>Southampton</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</si>
  <si>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</si>
  <si>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</si>
  <si>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</si>
  <si>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</si>
  <si>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</si>
  <si>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</si>
  <si>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</si>
  <si>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</si>
  <si>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</si>
  <si>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</si>
  <si>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</si>
  <si>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</si>
  <si>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</si>
  <si>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</si>
  <si>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</si>
  <si>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</si>
  <si>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</si>
  <si>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</si>
  <si>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</si>
  <si>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</si>
  <si>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</si>
  <si>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</si>
  <si>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</si>
  <si>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</si>
  <si>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</si>
  <si>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</si>
  <si>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</si>
  <si>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</si>
  <si>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</si>
  <si>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</si>
  <si>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</si>
  <si>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</si>
  <si>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</si>
  <si>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</si>
  <si>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</si>
  <si>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</si>
  <si>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</si>
  <si>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</si>
  <si>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</si>
  <si>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</si>
  <si>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</si>
  <si>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Title</t>
  </si>
  <si>
    <t>Author</t>
  </si>
  <si>
    <t>Genre</t>
  </si>
  <si>
    <t>Price</t>
  </si>
  <si>
    <t>The Way of Kings</t>
  </si>
  <si>
    <t>Sanderson</t>
  </si>
  <si>
    <t>Fantasy</t>
  </si>
  <si>
    <t>Leviathan Wakes</t>
  </si>
  <si>
    <t>Corey</t>
  </si>
  <si>
    <t>Sci-Fi</t>
  </si>
  <si>
    <t>Red Sister</t>
  </si>
  <si>
    <t>Lawrence</t>
  </si>
  <si>
    <t>Neuromancer</t>
  </si>
  <si>
    <t>Gibson</t>
  </si>
  <si>
    <t>Foundation</t>
  </si>
  <si>
    <t>Asimov</t>
  </si>
  <si>
    <t>Manager</t>
  </si>
  <si>
    <t>Staff_Count</t>
  </si>
  <si>
    <t>Sarah</t>
  </si>
  <si>
    <t>James</t>
  </si>
  <si>
    <t>Mike</t>
  </si>
  <si>
    <t>Stock (Units)</t>
  </si>
  <si>
    <t>BK006</t>
  </si>
  <si>
    <t>The Blade Itself</t>
  </si>
  <si>
    <t>Abercrombie</t>
  </si>
  <si>
    <t>BK007</t>
  </si>
  <si>
    <t>Project Hail Mary</t>
  </si>
  <si>
    <t>Weir</t>
  </si>
  <si>
    <t>BK008</t>
  </si>
  <si>
    <t>The Name of the Wind</t>
  </si>
  <si>
    <t>Rothfuss</t>
  </si>
  <si>
    <t>BK009</t>
  </si>
  <si>
    <t>Dune</t>
  </si>
  <si>
    <t>Herbert</t>
  </si>
  <si>
    <t>BK010</t>
  </si>
  <si>
    <t>The Lies of Locke Lamora</t>
  </si>
  <si>
    <t>Lynch</t>
  </si>
  <si>
    <t>Unit Price</t>
  </si>
  <si>
    <t>Total Revenue</t>
  </si>
  <si>
    <t>Cost</t>
  </si>
  <si>
    <t>Total Cost</t>
  </si>
  <si>
    <t>Total Profit</t>
  </si>
  <si>
    <t>Row Labels</t>
  </si>
  <si>
    <t>Grand Total</t>
  </si>
  <si>
    <t>Sum of Total Profit</t>
  </si>
  <si>
    <t>Store</t>
  </si>
  <si>
    <t>Staff Count</t>
  </si>
  <si>
    <t>Profit per Staff</t>
  </si>
  <si>
    <t>Sum of Profit per Staff</t>
  </si>
  <si>
    <t>Library Sales &amp; Management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</si>
</sst>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809]* #,##0.00_-;\-[$£-809]* #,##0.00_-;_-[$£-809]* &quot;-&quot;??_-;_-@_-"/>
    <numFmt numFmtId="166" formatCode="_-[$£-809]* #,##0.0_-;\-[$£-809]* #,##0.0_-;_-[$£-809]* &quot;-&quot;?_-;_-@_-"/>
  </numFmts>
  <fonts count="3" x14ac:knownFonts="1">
    <font>
      <sz val="11"/>
      <color theme="1"/>
      <name val="Aptos Narrow"/>
      <family val="2"/>
      <scheme val="minor"/>
    </font>
    <font>
      <b/>
      <sz val="11"/>
      <color theme="1"/>
      <name val="Aptos Narrow"/>
      <family val="2"/>
      <scheme val="minor"/>
    </font>
    <font>
      <b/>
      <sz val="20"/>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cellXfs>
  <cellStyles count="1">
    <cellStyle name="Normal" xfId="0" builtinId="0"/>
  </cellStyles>
  <dxfs count="31">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font>
        <color rgb="FF9C0006"/>
      </font>
      <fill>
        <patternFill>
          <bgColor rgb="FFFFC7CE"/>
        </patternFill>
      </fill>
    </dxf>
    <dxf>
      <numFmt numFmtId="165" formatCode="_-[$£-809]* #,##0.00_-;\-[$£-809]* #,##0.00_-;_-[$£-809]* &quot;-&quot;??_-;_-@_-"/>
    </dxf>
    <dxf>
      <numFmt numFmtId="165" formatCode="_-[$£-809]* #,##0.00_-;\-[$£-809]* #,##0.00_-;_-[$£-809]* &quot;-&quot;??_-;_-@_-"/>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165" formatCode="_-[$£-809]* #,##0.00_-;\-[$£-809]* #,##0.00_-;_-[$£-809]* &quot;-&quot;??_-;_-@_-"/>
    </dxf>
    <dxf>
      <numFmt numFmtId="166" formatCode="_-[$£-809]* #,##0.0_-;\-[$£-809]* #,##0.0_-;_-[$£-809]* &quot;-&quot;?_-;_-@_-"/>
    </dxf>
    <dxf>
      <font>
        <b/>
        <i val="0"/>
        <strike val="0"/>
        <condense val="0"/>
        <extend val="0"/>
        <outline val="0"/>
        <shadow val="0"/>
        <u val="none"/>
        <vertAlign val="baseline"/>
        <sz val="11"/>
        <color theme="1"/>
        <name val="Aptos Narrow"/>
        <family val="2"/>
        <scheme val="minor"/>
      </font>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4" formatCode="yyyy\-mm\-dd;@"/>
    </dxf>
    <dxf>
      <font>
        <b/>
        <i val="0"/>
        <strike val="0"/>
        <condense val="0"/>
        <extend val="0"/>
        <outline val="0"/>
        <shadow val="0"/>
        <u val="none"/>
        <vertAlign val="baseline"/>
        <sz val="11"/>
        <color theme="1"/>
        <name val="Aptos Narrow"/>
        <family val="2"/>
        <scheme val="minor"/>
      </font>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[Library_Sales_&amp;_Management_Performance.xlsx]Genre Chart!PivotTable1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by Genre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'Genre Chart'!$B$3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FE-4C28-9F70-D272FA3FEA48}"/>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FE-4C28-9F70-D272FA3FEA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'Genre Chart'!$A$4:$A$6</c:f>
              <c:strCache>
                <c:ptCount val="2"/>
                <c:pt idx="0">
                  <c:v>Fantasy</c:v>
                </c:pt>
                <c:pt idx="1">
                  <c:v>Sci-Fi</c:v>
                </c:pt>
              </c:strCache>
            </c:strRef>
          </c:cat>
          <c:val>
            <c:numRef>
              <c:f>'Genre Chart'!$B$4:$B$6</c:f>
              <c:numCache>
                <c:formatCode>_-[$£-809]* #,##0.00_-;\-[$£-809]* #,##0.00_-;_-[$£-809]* "-"??_-;_-@_-</c:formatCode>
                <c:ptCount val="2"/>
                <c:pt idx="0">
                  <c:v>816.2</c:v>
                </c:pt>
                <c:pt idx="1">
                  <c:v>634.4</c:v>
                </c:pt>
              </c:numCache>
            </c:numRef>
          </c:val>
          <c:extLst>
            <c:ext xmlns:c16="http://schemas.microsoft.com/office/drawing/2014/chart" uri="{C3380CC4-5D6E-409C-BE32-E72D297353CC}">
              <c16:uniqueId val="{00000004-F9FE-4C28-9F70-D272FA3FEA4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10785214348207"/>
          <c:y val="0.77734798775153102"/>
          <c:w val="0.17892147856517937"/>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[Library_Sales_&amp;_Management_Performance.xlsx]Manager Chart!PivotTable2</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 Profit by Manager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'Manager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Chart'!$A$4:$A$7</c:f>
              <c:strCache>
                <c:ptCount val="3"/>
                <c:pt idx="0">
                  <c:v>James</c:v>
                </c:pt>
                <c:pt idx="1">
                  <c:v>Mike</c:v>
                </c:pt>
                <c:pt idx="2">
                  <c:v>Sarah</c:v>
                </c:pt>
              </c:strCache>
            </c:strRef>
          </c:cat>
          <c:val>
            <c:numRef>
              <c:f>'Manager Chart'!$B$4:$B$7</c:f>
              <c:numCache>
                <c:formatCode>_-[$£-809]* #,##0.00_-;\-[$£-809]* #,##0.00_-;_-[$£-809]* "-"??_-;_-@_-</c:formatCode>
                <c:ptCount val="3"/>
                <c:pt idx="0">
                  <c:v>443.80000000000007</c:v>
                </c:pt>
                <c:pt idx="1">
                  <c:v>590.6</c:v>
                </c:pt>
                <c:pt idx="2">
                  <c:v>416.20000000000005</c:v>
                </c:pt>
              </c:numCache>
            </c:numRef>
          </c:val>
          <c:extLst>
            <c:ext xmlns:c16="http://schemas.microsoft.com/office/drawing/2014/chart" uri="{C3380CC4-5D6E-409C-BE32-E72D297353CC}">
              <c16:uniqueId val="{00000000-0D18-4192-BC13-C5A66290C73C}"/>
            </c:ext>
          </c:extLst>
        </c:ser>
        <c:dLbls>
          <c:dLblPos val="ctr"/>
          <c:showLegendKey val="0"/>
          <c:showVal val="1"/>
          <c:showCatName val="0"/>
          <c:showSerName val="0"/>
          <c:showPercent val="0"/>
          <c:showBubbleSize val="0"/>
        </c:dLbls>
        <c:gapWidth val="150"/>
        <c:overlap val="100"/>
        <c:axId val="311470159"/>
        <c:axId val="311472079"/>
      </c:barChart>
      <c:catAx>
        <c:axId val="311470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b="1" i="0" baseline="0"/>
                  <a:t>Manager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72079"/>
        <c:crosses val="autoZero"/>
        <c:auto val="1"/>
        <c:lblAlgn val="ctr"/>
        <c:lblOffset val="100"/>
        <c:noMultiLvlLbl val="0"/>
      </c:catAx>
      <c:valAx>
        <c:axId val="31147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b="1" i="0" baseline="0"/>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7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[Library_Sales_&amp;_Management_Performance.xlsx]Efficiency Chart!PivotTable3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per Stuff</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'Efficiency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Chart'!$A$4:$A$7</c:f>
              <c:strCache>
                <c:ptCount val="3"/>
                <c:pt idx="0">
                  <c:v>London</c:v>
                </c:pt>
                <c:pt idx="1">
                  <c:v>Portsmouth</c:v>
                </c:pt>
                <c:pt idx="2">
                  <c:v>Southampton</c:v>
                </c:pt>
              </c:strCache>
            </c:strRef>
          </c:cat>
          <c:val>
            <c:numRef>
              <c:f>'Efficiency Chart'!$B$4:$B$7</c:f>
              <c:numCache>
                <c:formatCode>_-[$£-809]* #,##0.00_-;\-[$£-809]* #,##0.00_-;_-[$£-809]* "-"??_-;_-@_-</c:formatCode>
                <c:ptCount val="3"/>
                <c:pt idx="0">
                  <c:v>36.983333333333341</c:v>
                </c:pt>
                <c:pt idx="1">
                  <c:v>83.240000000000009</c:v>
                </c:pt>
                <c:pt idx="2">
                  <c:v>196.86666666666667</c:v>
                </c:pt>
              </c:numCache>
            </c:numRef>
          </c:val>
          <c:extLst>
            <c:ext xmlns:c16="http://schemas.microsoft.com/office/drawing/2014/chart" uri="{C3380CC4-5D6E-409C-BE32-E72D297353CC}">
              <c16:uniqueId val="{00000000-D1EA-45D5-BC0F-FD5CE873F8D8}"/>
            </c:ext>
          </c:extLst>
        </c:ser>
        <c:dLbls>
          <c:showLegendKey val="0"/>
          <c:showVal val="0"/>
          <c:showCatName val="0"/>
          <c:showSerName val="0"/>
          <c:showPercent val="0"/>
          <c:showBubbleSize val="0"/>
        </c:dLbls>
        <c:gapWidth val="115"/>
        <c:overlap val="-20"/>
        <c:axId val="948197103"/>
        <c:axId val="948197583"/>
      </c:barChart>
      <c:catAx>
        <c:axId val="9481971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Store Location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197583"/>
        <c:crosses val="autoZero"/>
        <c:auto val="1"/>
        <c:lblAlgn val="ctr"/>
        <c:lblOffset val="100"/>
        <c:noMultiLvlLbl val="0"/>
      </c:catAx>
      <c:valAx>
        <c:axId val="948197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Profit per Staff</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19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590550</xdr:colOff>
      <xdr:row>20</xdr:row>
      <xdr:rowOff>76200</xdr:rowOff>
    </xdr:from>
    <xdr:to>
      <xdr:col>8</xdr:col>
      <xdr:colOff>285750</xdr:colOff>
      <xdr:row>35</xdr:row>
      <xdr:rowOff>57150</xdr:rowOff>
    </xdr:to>
    <xdr:graphicFrame macro="">
      <xdr:nvGraphicFramePr>
        <xdr:cNvPr id="2" name="Chart 1">
          <a:extLst>
            <a:ext uri="{FF2B5EF4-FFF2-40B4-BE49-F238E27FC236}">
              <a16:creationId xmlns:a16="http://schemas.microsoft.com/office/drawing/2014/main" id="{29038D34-6348-4EFB-8991-55205B24D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603250</xdr:colOff>
      <xdr:row>3</xdr:row>
      <xdr:rowOff>146050</xdr:rowOff>
    </xdr:from>
    <xdr:to>
      <xdr:col>8</xdr:col>
      <xdr:colOff>298450</xdr:colOff>
      <xdr:row>18</xdr:row>
      <xdr:rowOff>127000</xdr:rowOff>
    </xdr:to>
    <xdr:graphicFrame macro="">
      <xdr:nvGraphicFramePr>
        <xdr:cNvPr id="3" name="Chart 2">
          <a:extLst>
            <a:ext uri="{FF2B5EF4-FFF2-40B4-BE49-F238E27FC236}">
              <a16:creationId xmlns:a16="http://schemas.microsoft.com/office/drawing/2014/main" id="{37D5BBCC-332E-46A1-B8F0-8025499EF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xdr:colOff>
      <xdr:row>3</xdr:row>
      <xdr:rowOff>139700</xdr:rowOff>
    </xdr:from>
    <xdr:to>
      <xdr:col>16</xdr:col>
      <xdr:colOff>349250</xdr:colOff>
      <xdr:row>18</xdr:row>
      <xdr:rowOff>120650</xdr:rowOff>
    </xdr:to>
    <xdr:graphicFrame macro="">
      <xdr:nvGraphicFramePr>
        <xdr:cNvPr id="4" name="Chart 3">
          <a:extLst>
            <a:ext uri="{FF2B5EF4-FFF2-40B4-BE49-F238E27FC236}">
              <a16:creationId xmlns:a16="http://schemas.microsoft.com/office/drawing/2014/main" id="{B3B6D48E-7160-4ECC-B028-C7AB40A4B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323850</xdr:colOff>
      <xdr:row>20</xdr:row>
      <xdr:rowOff>25400</xdr:rowOff>
    </xdr:from>
    <xdr:to>
      <xdr:col>16</xdr:col>
      <xdr:colOff>323850</xdr:colOff>
      <xdr:row>27</xdr:row>
      <xdr:rowOff>139700</xdr:rowOff>
    </xdr:to>
    <mc:AlternateContent xmlns:mc="http://schemas.openxmlformats.org/markup-compatibility/2006" xmlns:a14="http://schemas.microsoft.com/office/drawing/2010/main">
      <mc:Choice Requires="a14">
        <xdr:graphicFrame macro="">
          <xdr:nvGraphicFramePr>
            <xdr:cNvPr id="5" name="Genre">
              <a:extLst>
                <a:ext uri="{FF2B5EF4-FFF2-40B4-BE49-F238E27FC236}">
                  <a16:creationId xmlns:a16="http://schemas.microsoft.com/office/drawing/2014/main" id="{D74E8F3F-9FEB-4AE9-C067-1E13DFB9B7A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248650" y="3854450"/>
              <a:ext cx="1828800" cy="1403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209550</xdr:colOff>
      <xdr:row>33</xdr:row>
      <xdr:rowOff>50800</xdr:rowOff>
    </xdr:from>
    <xdr:ext cx="2609850" cy="469900"/>
    <xdr:sp macro="" textlink="">
      <xdr:nvSpPr>
        <xdr:cNvPr id="6" name="TextBox 5">
          <a:extLst>
            <a:ext uri="{FF2B5EF4-FFF2-40B4-BE49-F238E27FC236}">
              <a16:creationId xmlns:a16="http://schemas.microsoft.com/office/drawing/2014/main" id="{F7EB352C-78B2-632D-C1F7-23C6FFDB2397}"/>
            </a:ext>
          </a:extLst>
        </xdr:cNvPr>
        <xdr:cNvSpPr txBox="1"/>
      </xdr:nvSpPr>
      <xdr:spPr>
        <a:xfrm>
          <a:off x="7524750" y="6273800"/>
          <a:ext cx="2609850" cy="46990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 </a:t>
          </a:r>
          <a:r>
            <a:rPr lang="en-GB" sz="1100" b="1"/>
            <a:t>AUDIT ALERT: 3 titles recorded sales with 0 stock. System sync required.</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094.584809490741" backgroundQuery="1" createdVersion="8" refreshedVersion="8" minRefreshableVersion="3" recordCount="0" supportSubquery="1" supportAdvancedDrill="1" xr:uid="{4DE3A604-5841-4F45-A095-D5D79D019619}">
  <cacheSource type="external" connectionId="1"/>
  <cacheFields count="3">
    <cacheField name="[Tab_Managers].[Manager].[Manager]" caption="Manager" numFmtId="0" hierarchy="5" level="1">
      <sharedItems count="3">
        <s v="James"/>
        <s v="Mike"/>
        <s v="Sarah"/>
      </sharedItems>
    </cacheField>
    <cacheField name="[Measures].[Sum of Total Profit]" caption="Sum of Total Profit" numFmtId="0" hierarchy="30" level="32767"/>
    <cacheField name="[Tab_Products].[Genre].[Genre]" caption="Genre" numFmtId="0" hierarchy="10" level="1">
      <sharedItems containsSemiMixedTypes="0" containsNonDate="0" containsString="0"/>
    </cacheField>
  </cacheFields>
  <cacheHierarchies count="32">
    <cacheHierarchy uniqueName="[Tab_Efficiency].[Store]" caption="Store" attribute="1" defaultMemberUniqueName="[Tab_Efficiency].[Store].[All]" allUniqueName="[Tab_Efficiency].[Store].[All]" dimensionUniqueName="[Tab_Efficiency]" displayFolder="" count="2" memberValueDatatype="130" unbalanced="0"/>
    <cacheHierarchy uniqueName="[Tab_Efficiency].[Total Profit]" caption="Total Profit" attribute="1" defaultMemberUniqueName="[Tab_Efficiency].[Total Profit].[All]" allUniqueName="[Tab_Efficiency].[Total Profit].[All]" dimensionUniqueName="[Tab_Efficiency]" displayFolder="" count="2" memberValueDatatype="5" unbalanced="0"/>
    <cacheHierarchy uniqueName="[Tab_Efficiency].[Staff Count]" caption="Staff Count" attribute="1" defaultMemberUniqueName="[Tab_Efficiency].[Staff Count].[All]" allUniqueName="[Tab_Efficiency].[Staff Count].[All]" dimensionUniqueName="[Tab_Efficiency]" displayFolder="" count="2" memberValueDatatype="20" unbalanced="0"/>
    <cacheHierarchy uniqueName="[Tab_Efficiency].[Profit per Staff]" caption="Profit per Staff" attribute="1" defaultMemberUniqueName="[Tab_Efficiency].[Profit per Staff].[All]" allUniqueName="[Tab_Efficiency].[Profit per Staff].[All]" dimensionUniqueName="[Tab_Efficiency]" displayFolder="" count="2" memberValueDatatype="5" unbalanced="0"/>
    <cacheHierarchy uniqueName="[Tab_Managers].[Store_Location]" caption="Store_Location" attribute="1" defaultMemberUniqueName="[Tab_Managers].[Store_Location].[All]" allUniqueName="[Tab_Managers].[Store_Location].[All]" dimensionUniqueName="[Tab_Managers]" displayFolder="" count="2" memberValueDatatype="130" unbalanced="0"/>
    <cacheHierarchy uniqueName="[Tab_Managers].[Manager]" caption="Manager" attribute="1" defaultMemberUniqueName="[Tab_Managers].[Manager].[All]" allUniqueName="[Tab_Managers].[Manager].[All]" dimensionUniqueName="[Tab_Managers]" displayFolder="" count="2" memberValueDatatype="130" unbalanced="0">
      <fieldsUsage count="2">
        <fieldUsage x="-1"/>
        <fieldUsage x="0"/>
      </fieldsUsage>
    </cacheHierarchy>
    <cacheHierarchy uniqueName="[Tab_Managers].[Staff_Count]" caption="Staff_Count" attribute="1" defaultMemberUniqueName="[Tab_Managers].[Staff_Count].[All]" allUniqueName="[Tab_Managers].[Staff_Count].[All]" dimensionUniqueName="[Tab_Managers]" displayFolder="" count="2" memberValueDatatype="20" unbalanced="0"/>
    <cacheHierarchy uniqueName="[Tab_Products].[Book_ID]" caption="Book_ID" attribute="1" defaultMemberUniqueName="[Tab_Products].[Book_ID].[All]" allUniqueName="[Tab_Products].[Book_ID].[All]" dimensionUniqueName="[Tab_Products]" displayFolder="" count="2" memberValueDatatype="130" unbalanced="0"/>
    <cacheHierarchy uniqueName="[Tab_Products].[Title]" caption="Title" attribute="1" defaultMemberUniqueName="[Tab_Products].[Title].[All]" allUniqueName="[Tab_Products].[Title].[All]" dimensionUniqueName="[Tab_Products]" displayFolder="" count="2" memberValueDatatype="130" unbalanced="0"/>
    <cacheHierarchy uniqueName="[Tab_Products].[Author]" caption="Author" attribute="1" defaultMemberUniqueName="[Tab_Products].[Author].[All]" allUniqueName="[Tab_Products].[Author].[All]" dimensionUniqueName="[Tab_Products]" displayFolder="" count="2" memberValueDatatype="130" unbalanced="0"/>
    <cacheHierarchy uniqueName="[Tab_Products].[Genre]" caption="Genre" attribute="1" defaultMemberUniqueName="[Tab_Products].[Genre].[All]" allUniqueName="[Tab_Products].[Genre].[All]" dimensionUniqueName="[Tab_Products]" displayFolder="" count="2" memberValueDatatype="130" unbalanced="0">
      <fieldsUsage count="2">
        <fieldUsage x="-1"/>
        <fieldUsage x="2"/>
      </fieldsUsage>
    </cacheHierarchy>
    <cacheHierarchy uniqueName="[Tab_Products].[Stock (Units)]" caption="Stock (Units)" attribute="1" defaultMemberUniqueName="[Tab_Products].[Stock (Units)].[All]" allUniqueName="[Tab_Products].[Stock (Units)].[All]" dimensionUniqueName="[Tab_Products]" displayFolder="" count="2" memberValueDatatype="20" unbalanced="0"/>
    <cacheHierarchy uniqueName="[Tab_Products].[Cost]" caption="Cost" attribute="1" defaultMemberUniqueName="[Tab_Products].[Cost].[All]" allUniqueName="[Tab_Products].[Cost].[All]" dimensionUniqueName="[Tab_Products]" displayFolder="" count="2" memberValueDatatype="5" unbalanced="0"/>
    <cacheHierarchy uniqueName="[Tab_Products].[Price]" caption="Price" attribute="1" defaultMemberUniqueName="[Tab_Products].[Price].[All]" allUniqueName="[Tab_Products].[Price].[All]" dimensionUniqueName="[Tab_Products]" displayFolder="" count="2" memberValueDatatype="5" unbalanced="0"/>
    <cacheHierarchy uniqueName="[Tab_Sales].[Order_ID]" caption="Order_ID" attribute="1" defaultMemberUniqueName="[Tab_Sales].[Order_ID].[All]" allUniqueName="[Tab_Sales].[Order_ID].[All]" dimensionUniqueName="[Tab_Sales]" displayFolder="" count="2" memberValueDatatype="130" unbalanced="0"/>
    <cacheHierarchy uniqueName="[Tab_Sales].[Date]" caption="Date" attribute="1" time="1" defaultMemberUniqueName="[Tab_Sales].[Date].[All]" allUniqueName="[Tab_Sales].[Date].[All]" dimensionUniqueName="[Tab_Sales]" displayFolder="" count="2" memberValueDatatype="7" unbalanced="0"/>
    <cacheHierarchy uniqueName="[Tab_Sales].[Book_ID]" caption="Book_ID" attribute="1" defaultMemberUniqueName="[Tab_Sales].[Book_ID].[All]" allUniqueName="[Tab_Sales].[Book_ID].[All]" dimensionUniqueName="[Tab_Sales]" displayFolder="" count="2" memberValueDatatype="130" unbalanced="0"/>
    <cacheHierarchy uniqueName="[Tab_Sales].[Store_Location]" caption="Store_Location" attribute="1" defaultMemberUniqueName="[Tab_Sales].[Store_Location].[All]" allUniqueName="[Tab_Sales].[Store_Location].[All]" dimensionUniqueName="[Tab_Sales]" displayFolder="" count="2" memberValueDatatype="130" unbalanced="0"/>
    <cacheHierarchy uniqueName="[Tab_Sales].[Units_Sold]" caption="Units_Sold" attribute="1" defaultMemberUniqueName="[Tab_Sales].[Units_Sold].[All]" allUniqueName="[Tab_Sales].[Units_Sold].[All]" dimensionUniqueName="[Tab_Sales]" displayFolder="" count="2" memberValueDatatype="20" unbalanced="0"/>
    <cacheHierarchy uniqueName="[Tab_Sales].[Unit Price]" caption="Unit Price" attribute="1" defaultMemberUniqueName="[Tab_Sales].[Unit Price].[All]" allUniqueName="[Tab_Sales].[Unit Price].[All]" dimensionUniqueName="[Tab_Sales]" displayFolder="" count="2" memberValueDatatype="5" unbalanced="0"/>
    <cacheHierarchy uniqueName="[Tab_Sales].[Cost]" caption="Cost" attribute="1" defaultMemberUniqueName="[Tab_Sales].[Cost].[All]" allUniqueName="[Tab_Sales].[Cost].[All]" dimensionUniqueName="[Tab_Sales]" displayFolder="" count="2" memberValueDatatype="5" unbalanced="0"/>
    <cacheHierarchy uniqueName="[Tab_Sales].[Total Revenue]" caption="Total Revenue" attribute="1" defaultMemberUniqueName="[Tab_Sales].[Total Revenue].[All]" allUniqueName="[Tab_Sales].[Total Revenue].[All]" dimensionUniqueName="[Tab_Sales]" displayFolder="" count="2" memberValueDatatype="5" unbalanced="0"/>
    <cacheHierarchy uniqueName="[Tab_Sales].[Total Cost]" caption="Total Cost" attribute="1" defaultMemberUniqueName="[Tab_Sales].[Total Cost].[All]" allUniqueName="[Tab_Sales].[Total Cost].[All]" dimensionUniqueName="[Tab_Sales]" displayFolder="" count="2" memberValueDatatype="5" unbalanced="0"/>
    <cacheHierarchy uniqueName="[Tab_Sales].[Total Profit]" caption="Total Profit" attribute="1" defaultMemberUniqueName="[Tab_Sales].[Total Profit].[All]" allUniqueName="[Tab_Sales].[Total Profit].[All]" dimensionUniqueName="[Tab_Sales]" displayFolder="" count="2" memberValueDatatype="5" unbalanced="0"/>
    <cacheHierarchy uniqueName="[Measures].[__XL_Count Tab_Sales]" caption="__XL_Count Tab_Sales" measure="1" displayFolder="" measureGroup="Tab_Sales" count="0" hidden="1"/>
    <cacheHierarchy uniqueName="[Measures].[__XL_Count Tab_Products]" caption="__XL_Count Tab_Products" measure="1" displayFolder="" measureGroup="Tab_Products" count="0" hidden="1"/>
    <cacheHierarchy uniqueName="[Measures].[__XL_Count Tab_Managers]" caption="__XL_Count Tab_Managers" measure="1" displayFolder="" measureGroup="Tab_Managers" count="0" hidden="1"/>
    <cacheHierarchy uniqueName="[Measures].[__XL_Count Tab_Efficiency]" caption="__XL_Count Tab_Efficiency" measure="1" displayFolder="" measureGroup="Tab_Efficiency" count="0" hidden="1"/>
    <cacheHierarchy uniqueName="[Measures].[__No measures defined]" caption="__No measures defined" measure="1" displayFolder="" count="0" hidden="1"/>
    <cacheHierarchy uniqueName="[Measures].[Sum of Total Cost]" caption="Sum of Total Cost" measure="1" displayFolder="" measureGroup="Tab_Sale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Tab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per Staff]" caption="Sum of Profit per Staff" measure="1" displayFolder="" measureGroup="Tab_Efficiency"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Tab_Efficiency" uniqueName="[Tab_Efficiency]" caption="Tab_Efficiency"/>
    <dimension name="Tab_Managers" uniqueName="[Tab_Managers]" caption="Tab_Managers"/>
    <dimension name="Tab_Products" uniqueName="[Tab_Products]" caption="Tab_Products"/>
    <dimension name="Tab_Sales" uniqueName="[Tab_Sales]" caption="Tab_Sales"/>
  </dimensions>
  <measureGroups count="4">
    <measureGroup name="Tab_Efficiency" caption="Tab_Efficiency"/>
    <measureGroup name="Tab_Managers" caption="Tab_Managers"/>
    <measureGroup name="Tab_Products" caption="Tab_Products"/>
    <measureGroup name="Tab_Sales" caption="Tab_Sales"/>
  </measureGroups>
  <maps count="6">
    <map measureGroup="0" dimension="1"/>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094.584809837965" backgroundQuery="1" createdVersion="8" refreshedVersion="8" minRefreshableVersion="3" recordCount="0" supportSubquery="1" supportAdvancedDrill="1" xr:uid="{359AE222-7592-4A88-AD00-78E755689419}">
  <cacheSource type="external" connectionId="1"/>
  <cacheFields count="3">
    <cacheField name="[Measures].[Sum of Profit per Staff]" caption="Sum of Profit per Staff" numFmtId="0" hierarchy="31" level="32767"/>
    <cacheField name="[Tab_Efficiency].[Store].[Store]" caption="Store" numFmtId="0" level="1">
      <sharedItems count="3">
        <s v="London"/>
        <s v="Portsmouth"/>
        <s v="Southampton"/>
      </sharedItems>
    </cacheField>
    <cacheField name="[Tab_Products].[Genre].[Genre]" caption="Genre" numFmtId="0" hierarchy="10" level="1">
      <sharedItems containsSemiMixedTypes="0" containsNonDate="0" containsString="0"/>
    </cacheField>
  </cacheFields>
  <cacheHierarchies count="32">
    <cacheHierarchy uniqueName="[Tab_Efficiency].[Store]" caption="Store" attribute="1" defaultMemberUniqueName="[Tab_Efficiency].[Store].[All]" allUniqueName="[Tab_Efficiency].[Store].[All]" dimensionUniqueName="[Tab_Efficiency]" displayFolder="" count="2" memberValueDatatype="130" unbalanced="0">
      <fieldsUsage count="2">
        <fieldUsage x="-1"/>
        <fieldUsage x="1"/>
      </fieldsUsage>
    </cacheHierarchy>
    <cacheHierarchy uniqueName="[Tab_Efficiency].[Total Profit]" caption="Total Profit" attribute="1" defaultMemberUniqueName="[Tab_Efficiency].[Total Profit].[All]" allUniqueName="[Tab_Efficiency].[Total Profit].[All]" dimensionUniqueName="[Tab_Efficiency]" displayFolder="" count="0" memberValueDatatype="5" unbalanced="0"/>
    <cacheHierarchy uniqueName="[Tab_Efficiency].[Staff Count]" caption="Staff Count" attribute="1" defaultMemberUniqueName="[Tab_Efficiency].[Staff Count].[All]" allUniqueName="[Tab_Efficiency].[Staff Count].[All]" dimensionUniqueName="[Tab_Efficiency]" displayFolder="" count="0" memberValueDatatype="20" unbalanced="0"/>
    <cacheHierarchy uniqueName="[Tab_Efficiency].[Profit per Staff]" caption="Profit per Staff" attribute="1" defaultMemberUniqueName="[Tab_Efficiency].[Profit per Staff].[All]" allUniqueName="[Tab_Efficiency].[Profit per Staff].[All]" dimensionUniqueName="[Tab_Efficiency]" displayFolder="" count="0" memberValueDatatype="5" unbalanced="0"/>
    <cacheHierarchy uniqueName="[Tab_Managers].[Store_Location]" caption="Store_Location" attribute="1" defaultMemberUniqueName="[Tab_Managers].[Store_Location].[All]" allUniqueName="[Tab_Managers].[Store_Location].[All]" dimensionUniqueName="[Tab_Managers]" displayFolder="" count="0" memberValueDatatype="130" unbalanced="0"/>
    <cacheHierarchy uniqueName="[Tab_Managers].[Manager]" caption="Manager" attribute="1" defaultMemberUniqueName="[Tab_Managers].[Manager].[All]" allUniqueName="[Tab_Managers].[Manager].[All]" dimensionUniqueName="[Tab_Managers]" displayFolder="" count="0" memberValueDatatype="130" unbalanced="0"/>
    <cacheHierarchy uniqueName="[Tab_Managers].[Staff_Count]" caption="Staff_Count" attribute="1" defaultMemberUniqueName="[Tab_Managers].[Staff_Count].[All]" allUniqueName="[Tab_Managers].[Staff_Count].[All]" dimensionUniqueName="[Tab_Managers]" displayFolder="" count="0" memberValueDatatype="20" unbalanced="0"/>
    <cacheHierarchy uniqueName="[Tab_Products].[Book_ID]" caption="Book_ID" attribute="1" defaultMemberUniqueName="[Tab_Products].[Book_ID].[All]" allUniqueName="[Tab_Products].[Book_ID].[All]" dimensionUniqueName="[Tab_Products]" displayFolder="" count="0" memberValueDatatype="130" unbalanced="0"/>
    <cacheHierarchy uniqueName="[Tab_Products].[Title]" caption="Title" attribute="1" defaultMemberUniqueName="[Tab_Products].[Title].[All]" allUniqueName="[Tab_Products].[Title].[All]" dimensionUniqueName="[Tab_Products]" displayFolder="" count="0" memberValueDatatype="130" unbalanced="0"/>
    <cacheHierarchy uniqueName="[Tab_Products].[Author]" caption="Author" attribute="1" defaultMemberUniqueName="[Tab_Products].[Author].[All]" allUniqueName="[Tab_Products].[Author].[All]" dimensionUniqueName="[Tab_Products]" displayFolder="" count="0" memberValueDatatype="130" unbalanced="0"/>
    <cacheHierarchy uniqueName="[Tab_Products].[Genre]" caption="Genre" attribute="1" defaultMemberUniqueName="[Tab_Products].[Genre].[All]" allUniqueName="[Tab_Products].[Genre].[All]" dimensionUniqueName="[Tab_Products]" displayFolder="" count="2" memberValueDatatype="130" unbalanced="0">
      <fieldsUsage count="2">
        <fieldUsage x="-1"/>
        <fieldUsage x="2"/>
      </fieldsUsage>
    </cacheHierarchy>
    <cacheHierarchy uniqueName="[Tab_Products].[Stock (Units)]" caption="Stock (Units)" attribute="1" defaultMemberUniqueName="[Tab_Products].[Stock (Units)].[All]" allUniqueName="[Tab_Products].[Stock (Units)].[All]" dimensionUniqueName="[Tab_Products]" displayFolder="" count="0" memberValueDatatype="20" unbalanced="0"/>
    <cacheHierarchy uniqueName="[Tab_Products].[Cost]" caption="Cost" attribute="1" defaultMemberUniqueName="[Tab_Products].[Cost].[All]" allUniqueName="[Tab_Products].[Cost].[All]" dimensionUniqueName="[Tab_Products]" displayFolder="" count="0" memberValueDatatype="5" unbalanced="0"/>
    <cacheHierarchy uniqueName="[Tab_Products].[Price]" caption="Price" attribute="1" defaultMemberUniqueName="[Tab_Products].[Price].[All]" allUniqueName="[Tab_Products].[Price].[All]" dimensionUniqueName="[Tab_Products]" displayFolder="" count="0" memberValueDatatype="5" unbalanced="0"/>
    <cacheHierarchy uniqueName="[Tab_Sales].[Order_ID]" caption="Order_ID" attribute="1" defaultMemberUniqueName="[Tab_Sales].[Order_ID].[All]" allUniqueName="[Tab_Sales].[Order_ID].[All]" dimensionUniqueName="[Tab_Sales]" displayFolder="" count="0" memberValueDatatype="130" unbalanced="0"/>
    <cacheHierarchy uniqueName="[Tab_Sales].[Date]" caption="Date" attribute="1" time="1" defaultMemberUniqueName="[Tab_Sales].[Date].[All]" allUniqueName="[Tab_Sales].[Date].[All]" dimensionUniqueName="[Tab_Sales]" displayFolder="" count="0" memberValueDatatype="7" unbalanced="0"/>
    <cacheHierarchy uniqueName="[Tab_Sales].[Book_ID]" caption="Book_ID" attribute="1" defaultMemberUniqueName="[Tab_Sales].[Book_ID].[All]" allUniqueName="[Tab_Sales].[Book_ID].[All]" dimensionUniqueName="[Tab_Sales]" displayFolder="" count="0" memberValueDatatype="130" unbalanced="0"/>
    <cacheHierarchy uniqueName="[Tab_Sales].[Store_Location]" caption="Store_Location" attribute="1" defaultMemberUniqueName="[Tab_Sales].[Store_Location].[All]" allUniqueName="[Tab_Sales].[Store_Location].[All]" dimensionUniqueName="[Tab_Sales]" displayFolder="" count="0" memberValueDatatype="130" unbalanced="0"/>
    <cacheHierarchy uniqueName="[Tab_Sales].[Units_Sold]" caption="Units_Sold" attribute="1" defaultMemberUniqueName="[Tab_Sales].[Units_Sold].[All]" allUniqueName="[Tab_Sales].[Units_Sold].[All]" dimensionUniqueName="[Tab_Sales]" displayFolder="" count="0" memberValueDatatype="20" unbalanced="0"/>
    <cacheHierarchy uniqueName="[Tab_Sales].[Unit Price]" caption="Unit Price" attribute="1" defaultMemberUniqueName="[Tab_Sales].[Unit Price].[All]" allUniqueName="[Tab_Sales].[Unit Price].[All]" dimensionUniqueName="[Tab_Sales]" displayFolder="" count="0" memberValueDatatype="5" unbalanced="0"/>
    <cacheHierarchy uniqueName="[Tab_Sales].[Cost]" caption="Cost" attribute="1" defaultMemberUniqueName="[Tab_Sales].[Cost].[All]" allUniqueName="[Tab_Sales].[Cost].[All]" dimensionUniqueName="[Tab_Sales]" displayFolder="" count="0" memberValueDatatype="5" unbalanced="0"/>
    <cacheHierarchy uniqueName="[Tab_Sales].[Total Revenue]" caption="Total Revenue" attribute="1" defaultMemberUniqueName="[Tab_Sales].[Total Revenue].[All]" allUniqueName="[Tab_Sales].[Total Revenue].[All]" dimensionUniqueName="[Tab_Sales]" displayFolder="" count="0" memberValueDatatype="5" unbalanced="0"/>
    <cacheHierarchy uniqueName="[Tab_Sales].[Total Cost]" caption="Total Cost" attribute="1" defaultMemberUniqueName="[Tab_Sales].[Total Cost].[All]" allUniqueName="[Tab_Sales].[Total Cost].[All]" dimensionUniqueName="[Tab_Sales]" displayFolder="" count="0" memberValueDatatype="5" unbalanced="0"/>
    <cacheHierarchy uniqueName="[Tab_Sales].[Total Profit]" caption="Total Profit" attribute="1" defaultMemberUniqueName="[Tab_Sales].[Total Profit].[All]" allUniqueName="[Tab_Sales].[Total Profit].[All]" dimensionUniqueName="[Tab_Sales]" displayFolder="" count="0" memberValueDatatype="5" unbalanced="0"/>
    <cacheHierarchy uniqueName="[Measures].[__XL_Count Tab_Sales]" caption="__XL_Count Tab_Sales" measure="1" displayFolder="" measureGroup="Tab_Sales" count="0" hidden="1"/>
    <cacheHierarchy uniqueName="[Measures].[__XL_Count Tab_Products]" caption="__XL_Count Tab_Products" measure="1" displayFolder="" measureGroup="Tab_Products" count="0" hidden="1"/>
    <cacheHierarchy uniqueName="[Measures].[__XL_Count Tab_Managers]" caption="__XL_Count Tab_Managers" measure="1" displayFolder="" measureGroup="Tab_Managers" count="0" hidden="1"/>
    <cacheHierarchy uniqueName="[Measures].[__XL_Count Tab_Efficiency]" caption="__XL_Count Tab_Efficiency" measure="1" displayFolder="" measureGroup="Tab_Efficiency" count="0" hidden="1"/>
    <cacheHierarchy uniqueName="[Measures].[__No measures defined]" caption="__No measures defined" measure="1" displayFolder="" count="0" hidden="1"/>
    <cacheHierarchy uniqueName="[Measures].[Sum of Total Cost]" caption="Sum of Total Cost" measure="1" displayFolder="" measureGroup="Tab_Sale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Tab_Sales" count="0" hidden="1">
      <extLst>
        <ext xmlns:x15="http://schemas.microsoft.com/office/spreadsheetml/2010/11/main" uri="{B97F6D7D-B522-45F9-BDA1-12C45D357490}">
          <x15:cacheHierarchy aggregatedColumn="23"/>
        </ext>
      </extLst>
    </cacheHierarchy>
    <cacheHierarchy uniqueName="[Measures].[Sum of Profit per Staff]" caption="Sum of Profit per Staff" measure="1" displayFolder="" measureGroup="Tab_Efficiency"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Tab_Efficiency" uniqueName="[Tab_Efficiency]" caption="Tab_Efficiency"/>
    <dimension name="Tab_Managers" uniqueName="[Tab_Managers]" caption="Tab_Managers"/>
    <dimension name="Tab_Products" uniqueName="[Tab_Products]" caption="Tab_Products"/>
    <dimension name="Tab_Sales" uniqueName="[Tab_Sales]" caption="Tab_Sales"/>
  </dimensions>
  <measureGroups count="4">
    <measureGroup name="Tab_Efficiency" caption="Tab_Efficiency"/>
    <measureGroup name="Tab_Managers" caption="Tab_Managers"/>
    <measureGroup name="Tab_Products" caption="Tab_Products"/>
    <measureGroup name="Tab_Sales" caption="Tab_Sales"/>
  </measureGroups>
  <maps count="6">
    <map measureGroup="0" dimension="1"/>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094.584810300927" backgroundQuery="1" createdVersion="8" refreshedVersion="8" minRefreshableVersion="3" recordCount="0" supportSubquery="1" supportAdvancedDrill="1" xr:uid="{E58AE936-D420-44B4-89B1-AF16A817BE48}">
  <cacheSource type="external" connectionId="1"/>
  <cacheFields count="2">
    <cacheField name="[Measures].[Sum of Total Profit]" caption="Sum of Total Profit" numFmtId="0" hierarchy="30" level="32767"/>
    <cacheField name="[Tab_Products].[Genre].[Genre]" caption="Genre" numFmtId="0" hierarchy="10" level="1">
      <sharedItems count="2">
        <s v="Fantasy"/>
        <s v="Sci-Fi"/>
      </sharedItems>
    </cacheField>
  </cacheFields>
  <cacheHierarchies count="32">
    <cacheHierarchy uniqueName="[Tab_Efficiency].[Store]" caption="Store" attribute="1" defaultMemberUniqueName="[Tab_Efficiency].[Store].[All]" allUniqueName="[Tab_Efficiency].[Store].[All]" dimensionUniqueName="[Tab_Efficiency]" displayFolder="" count="0" memberValueDatatype="130" unbalanced="0"/>
    <cacheHierarchy uniqueName="[Tab_Efficiency].[Total Profit]" caption="Total Profit" attribute="1" defaultMemberUniqueName="[Tab_Efficiency].[Total Profit].[All]" allUniqueName="[Tab_Efficiency].[Total Profit].[All]" dimensionUniqueName="[Tab_Efficiency]" displayFolder="" count="0" memberValueDatatype="5" unbalanced="0"/>
    <cacheHierarchy uniqueName="[Tab_Efficiency].[Staff Count]" caption="Staff Count" attribute="1" defaultMemberUniqueName="[Tab_Efficiency].[Staff Count].[All]" allUniqueName="[Tab_Efficiency].[Staff Count].[All]" dimensionUniqueName="[Tab_Efficiency]" displayFolder="" count="0" memberValueDatatype="20" unbalanced="0"/>
    <cacheHierarchy uniqueName="[Tab_Efficiency].[Profit per Staff]" caption="Profit per Staff" attribute="1" defaultMemberUniqueName="[Tab_Efficiency].[Profit per Staff].[All]" allUniqueName="[Tab_Efficiency].[Profit per Staff].[All]" dimensionUniqueName="[Tab_Efficiency]" displayFolder="" count="0" memberValueDatatype="5" unbalanced="0"/>
    <cacheHierarchy uniqueName="[Tab_Managers].[Store_Location]" caption="Store_Location" attribute="1" defaultMemberUniqueName="[Tab_Managers].[Store_Location].[All]" allUniqueName="[Tab_Managers].[Store_Location].[All]" dimensionUniqueName="[Tab_Managers]" displayFolder="" count="0" memberValueDatatype="130" unbalanced="0"/>
    <cacheHierarchy uniqueName="[Tab_Managers].[Manager]" caption="Manager" attribute="1" defaultMemberUniqueName="[Tab_Managers].[Manager].[All]" allUniqueName="[Tab_Managers].[Manager].[All]" dimensionUniqueName="[Tab_Managers]" displayFolder="" count="0" memberValueDatatype="130" unbalanced="0"/>
    <cacheHierarchy uniqueName="[Tab_Managers].[Staff_Count]" caption="Staff_Count" attribute="1" defaultMemberUniqueName="[Tab_Managers].[Staff_Count].[All]" allUniqueName="[Tab_Managers].[Staff_Count].[All]" dimensionUniqueName="[Tab_Managers]" displayFolder="" count="0" memberValueDatatype="20" unbalanced="0"/>
    <cacheHierarchy uniqueName="[Tab_Products].[Book_ID]" caption="Book_ID" attribute="1" defaultMemberUniqueName="[Tab_Products].[Book_ID].[All]" allUniqueName="[Tab_Products].[Book_ID].[All]" dimensionUniqueName="[Tab_Products]" displayFolder="" count="0" memberValueDatatype="130" unbalanced="0"/>
    <cacheHierarchy uniqueName="[Tab_Products].[Title]" caption="Title" attribute="1" defaultMemberUniqueName="[Tab_Products].[Title].[All]" allUniqueName="[Tab_Products].[Title].[All]" dimensionUniqueName="[Tab_Products]" displayFolder="" count="0" memberValueDatatype="130" unbalanced="0"/>
    <cacheHierarchy uniqueName="[Tab_Products].[Author]" caption="Author" attribute="1" defaultMemberUniqueName="[Tab_Products].[Author].[All]" allUniqueName="[Tab_Products].[Author].[All]" dimensionUniqueName="[Tab_Products]" displayFolder="" count="0" memberValueDatatype="130" unbalanced="0"/>
    <cacheHierarchy uniqueName="[Tab_Products].[Genre]" caption="Genre" attribute="1" defaultMemberUniqueName="[Tab_Products].[Genre].[All]" allUniqueName="[Tab_Products].[Genre].[All]" dimensionUniqueName="[Tab_Products]" displayFolder="" count="2" memberValueDatatype="130" unbalanced="0">
      <fieldsUsage count="2">
        <fieldUsage x="-1"/>
        <fieldUsage x="1"/>
      </fieldsUsage>
    </cacheHierarchy>
    <cacheHierarchy uniqueName="[Tab_Products].[Stock (Units)]" caption="Stock (Units)" attribute="1" defaultMemberUniqueName="[Tab_Products].[Stock (Units)].[All]" allUniqueName="[Tab_Products].[Stock (Units)].[All]" dimensionUniqueName="[Tab_Products]" displayFolder="" count="0" memberValueDatatype="20" unbalanced="0"/>
    <cacheHierarchy uniqueName="[Tab_Products].[Cost]" caption="Cost" attribute="1" defaultMemberUniqueName="[Tab_Products].[Cost].[All]" allUniqueName="[Tab_Products].[Cost].[All]" dimensionUniqueName="[Tab_Products]" displayFolder="" count="0" memberValueDatatype="5" unbalanced="0"/>
    <cacheHierarchy uniqueName="[Tab_Products].[Price]" caption="Price" attribute="1" defaultMemberUniqueName="[Tab_Products].[Price].[All]" allUniqueName="[Tab_Products].[Price].[All]" dimensionUniqueName="[Tab_Products]" displayFolder="" count="0" memberValueDatatype="5" unbalanced="0"/>
    <cacheHierarchy uniqueName="[Tab_Sales].[Order_ID]" caption="Order_ID" attribute="1" defaultMemberUniqueName="[Tab_Sales].[Order_ID].[All]" allUniqueName="[Tab_Sales].[Order_ID].[All]" dimensionUniqueName="[Tab_Sales]" displayFolder="" count="0" memberValueDatatype="130" unbalanced="0"/>
    <cacheHierarchy uniqueName="[Tab_Sales].[Date]" caption="Date" attribute="1" time="1" defaultMemberUniqueName="[Tab_Sales].[Date].[All]" allUniqueName="[Tab_Sales].[Date].[All]" dimensionUniqueName="[Tab_Sales]" displayFolder="" count="0" memberValueDatatype="7" unbalanced="0"/>
    <cacheHierarchy uniqueName="[Tab_Sales].[Book_ID]" caption="Book_ID" attribute="1" defaultMemberUniqueName="[Tab_Sales].[Book_ID].[All]" allUniqueName="[Tab_Sales].[Book_ID].[All]" dimensionUniqueName="[Tab_Sales]" displayFolder="" count="0" memberValueDatatype="130" unbalanced="0"/>
    <cacheHierarchy uniqueName="[Tab_Sales].[Store_Location]" caption="Store_Location" attribute="1" defaultMemberUniqueName="[Tab_Sales].[Store_Location].[All]" allUniqueName="[Tab_Sales].[Store_Location].[All]" dimensionUniqueName="[Tab_Sales]" displayFolder="" count="0" memberValueDatatype="130" unbalanced="0"/>
    <cacheHierarchy uniqueName="[Tab_Sales].[Units_Sold]" caption="Units_Sold" attribute="1" defaultMemberUniqueName="[Tab_Sales].[Units_Sold].[All]" allUniqueName="[Tab_Sales].[Units_Sold].[All]" dimensionUniqueName="[Tab_Sales]" displayFolder="" count="0" memberValueDatatype="20" unbalanced="0"/>
    <cacheHierarchy uniqueName="[Tab_Sales].[Unit Price]" caption="Unit Price" attribute="1" defaultMemberUniqueName="[Tab_Sales].[Unit Price].[All]" allUniqueName="[Tab_Sales].[Unit Price].[All]" dimensionUniqueName="[Tab_Sales]" displayFolder="" count="0" memberValueDatatype="5" unbalanced="0"/>
    <cacheHierarchy uniqueName="[Tab_Sales].[Cost]" caption="Cost" attribute="1" defaultMemberUniqueName="[Tab_Sales].[Cost].[All]" allUniqueName="[Tab_Sales].[Cost].[All]" dimensionUniqueName="[Tab_Sales]" displayFolder="" count="0" memberValueDatatype="5" unbalanced="0"/>
    <cacheHierarchy uniqueName="[Tab_Sales].[Total Revenue]" caption="Total Revenue" attribute="1" defaultMemberUniqueName="[Tab_Sales].[Total Revenue].[All]" allUniqueName="[Tab_Sales].[Total Revenue].[All]" dimensionUniqueName="[Tab_Sales]" displayFolder="" count="0" memberValueDatatype="5" unbalanced="0"/>
    <cacheHierarchy uniqueName="[Tab_Sales].[Total Cost]" caption="Total Cost" attribute="1" defaultMemberUniqueName="[Tab_Sales].[Total Cost].[All]" allUniqueName="[Tab_Sales].[Total Cost].[All]" dimensionUniqueName="[Tab_Sales]" displayFolder="" count="0" memberValueDatatype="5" unbalanced="0"/>
    <cacheHierarchy uniqueName="[Tab_Sales].[Total Profit]" caption="Total Profit" attribute="1" defaultMemberUniqueName="[Tab_Sales].[Total Profit].[All]" allUniqueName="[Tab_Sales].[Total Profit].[All]" dimensionUniqueName="[Tab_Sales]" displayFolder="" count="0" memberValueDatatype="5" unbalanced="0"/>
    <cacheHierarchy uniqueName="[Measures].[__XL_Count Tab_Sales]" caption="__XL_Count Tab_Sales" measure="1" displayFolder="" measureGroup="Tab_Sales" count="0" hidden="1"/>
    <cacheHierarchy uniqueName="[Measures].[__XL_Count Tab_Products]" caption="__XL_Count Tab_Products" measure="1" displayFolder="" measureGroup="Tab_Products" count="0" hidden="1"/>
    <cacheHierarchy uniqueName="[Measures].[__XL_Count Tab_Managers]" caption="__XL_Count Tab_Managers" measure="1" displayFolder="" measureGroup="Tab_Managers" count="0" hidden="1"/>
    <cacheHierarchy uniqueName="[Measures].[__XL_Count Tab_Efficiency]" caption="__XL_Count Tab_Efficiency" measure="1" displayFolder="" measureGroup="Tab_Efficiency" count="0" hidden="1"/>
    <cacheHierarchy uniqueName="[Measures].[__No measures defined]" caption="__No measures defined" measure="1" displayFolder="" count="0" hidden="1"/>
    <cacheHierarchy uniqueName="[Measures].[Sum of Total Cost]" caption="Sum of Total Cost" measure="1" displayFolder="" measureGroup="Tab_Sale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Tab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per Staff]" caption="Sum of Profit per Staff" measure="1" displayFolder="" measureGroup="Tab_Efficiency"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Tab_Efficiency" uniqueName="[Tab_Efficiency]" caption="Tab_Efficiency"/>
    <dimension name="Tab_Managers" uniqueName="[Tab_Managers]" caption="Tab_Managers"/>
    <dimension name="Tab_Products" uniqueName="[Tab_Products]" caption="Tab_Products"/>
    <dimension name="Tab_Sales" uniqueName="[Tab_Sales]" caption="Tab_Sales"/>
  </dimensions>
  <measureGroups count="4">
    <measureGroup name="Tab_Efficiency" caption="Tab_Efficiency"/>
    <measureGroup name="Tab_Managers" caption="Tab_Managers"/>
    <measureGroup name="Tab_Products" caption="Tab_Products"/>
    <measureGroup name="Tab_Sales" caption="Tab_Sales"/>
  </measureGroups>
  <maps count="6">
    <map measureGroup="0" dimension="1"/>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073.657316666664" backgroundQuery="1" createdVersion="3" refreshedVersion="8" minRefreshableVersion="3" recordCount="0" supportSubquery="1" supportAdvancedDrill="1" xr:uid="{124ECFD0-0B27-4701-913D-1B39EED21FBC}">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_Efficiency].[Store]" caption="Store" attribute="1" defaultMemberUniqueName="[Tab_Efficiency].[Store].[All]" allUniqueName="[Tab_Efficiency].[Store].[All]" dimensionUniqueName="[Tab_Efficiency]" displayFolder="" count="0" memberValueDatatype="130" unbalanced="0"/>
    <cacheHierarchy uniqueName="[Tab_Efficiency].[Total Profit]" caption="Total Profit" attribute="1" defaultMemberUniqueName="[Tab_Efficiency].[Total Profit].[All]" allUniqueName="[Tab_Efficiency].[Total Profit].[All]" dimensionUniqueName="[Tab_Efficiency]" displayFolder="" count="0" memberValueDatatype="5" unbalanced="0"/>
    <cacheHierarchy uniqueName="[Tab_Efficiency].[Staff Count]" caption="Staff Count" attribute="1" defaultMemberUniqueName="[Tab_Efficiency].[Staff Count].[All]" allUniqueName="[Tab_Efficiency].[Staff Count].[All]" dimensionUniqueName="[Tab_Efficiency]" displayFolder="" count="0" memberValueDatatype="20" unbalanced="0"/>
    <cacheHierarchy uniqueName="[Tab_Efficiency].[Profit per Staff]" caption="Profit per Staff" attribute="1" defaultMemberUniqueName="[Tab_Efficiency].[Profit per Staff].[All]" allUniqueName="[Tab_Efficiency].[Profit per Staff].[All]" dimensionUniqueName="[Tab_Efficiency]" displayFolder="" count="0" memberValueDatatype="5" unbalanced="0"/>
    <cacheHierarchy uniqueName="[Tab_Managers].[Store_Location]" caption="Store_Location" attribute="1" defaultMemberUniqueName="[Tab_Managers].[Store_Location].[All]" allUniqueName="[Tab_Managers].[Store_Location].[All]" dimensionUniqueName="[Tab_Managers]" displayFolder="" count="0" memberValueDatatype="130" unbalanced="0"/>
    <cacheHierarchy uniqueName="[Tab_Managers].[Manager]" caption="Manager" attribute="1" defaultMemberUniqueName="[Tab_Managers].[Manager].[All]" allUniqueName="[Tab_Managers].[Manager].[All]" dimensionUniqueName="[Tab_Managers]" displayFolder="" count="0" memberValueDatatype="130" unbalanced="0"/>
    <cacheHierarchy uniqueName="[Tab_Managers].[Staff_Count]" caption="Staff_Count" attribute="1" defaultMemberUniqueName="[Tab_Managers].[Staff_Count].[All]" allUniqueName="[Tab_Managers].[Staff_Count].[All]" dimensionUniqueName="[Tab_Managers]" displayFolder="" count="0" memberValueDatatype="20" unbalanced="0"/>
    <cacheHierarchy uniqueName="[Tab_Products].[Book_ID]" caption="Book_ID" attribute="1" defaultMemberUniqueName="[Tab_Products].[Book_ID].[All]" allUniqueName="[Tab_Products].[Book_ID].[All]" dimensionUniqueName="[Tab_Products]" displayFolder="" count="0" memberValueDatatype="130" unbalanced="0"/>
    <cacheHierarchy uniqueName="[Tab_Products].[Title]" caption="Title" attribute="1" defaultMemberUniqueName="[Tab_Products].[Title].[All]" allUniqueName="[Tab_Products].[Title].[All]" dimensionUniqueName="[Tab_Products]" displayFolder="" count="0" memberValueDatatype="130" unbalanced="0"/>
    <cacheHierarchy uniqueName="[Tab_Products].[Author]" caption="Author" attribute="1" defaultMemberUniqueName="[Tab_Products].[Author].[All]" allUniqueName="[Tab_Products].[Author].[All]" dimensionUniqueName="[Tab_Products]" displayFolder="" count="0" memberValueDatatype="130" unbalanced="0"/>
    <cacheHierarchy uniqueName="[Tab_Products].[Genre]" caption="Genre" attribute="1" defaultMemberUniqueName="[Tab_Products].[Genre].[All]" allUniqueName="[Tab_Products].[Genre].[All]" dimensionUniqueName="[Tab_Products]" displayFolder="" count="2" memberValueDatatype="130" unbalanced="0"/>
    <cacheHierarchy uniqueName="[Tab_Products].[Stock (Units)]" caption="Stock (Units)" attribute="1" defaultMemberUniqueName="[Tab_Products].[Stock (Units)].[All]" allUniqueName="[Tab_Products].[Stock (Units)].[All]" dimensionUniqueName="[Tab_Products]" displayFolder="" count="0" memberValueDatatype="20" unbalanced="0"/>
    <cacheHierarchy uniqueName="[Tab_Products].[Cost]" caption="Cost" attribute="1" defaultMemberUniqueName="[Tab_Products].[Cost].[All]" allUniqueName="[Tab_Products].[Cost].[All]" dimensionUniqueName="[Tab_Products]" displayFolder="" count="0" memberValueDatatype="5" unbalanced="0"/>
    <cacheHierarchy uniqueName="[Tab_Products].[Price]" caption="Price" attribute="1" defaultMemberUniqueName="[Tab_Products].[Price].[All]" allUniqueName="[Tab_Products].[Price].[All]" dimensionUniqueName="[Tab_Products]" displayFolder="" count="0" memberValueDatatype="5" unbalanced="0"/>
    <cacheHierarchy uniqueName="[Tab_Sales].[Order_ID]" caption="Order_ID" attribute="1" defaultMemberUniqueName="[Tab_Sales].[Order_ID].[All]" allUniqueName="[Tab_Sales].[Order_ID].[All]" dimensionUniqueName="[Tab_Sales]" displayFolder="" count="0" memberValueDatatype="130" unbalanced="0"/>
    <cacheHierarchy uniqueName="[Tab_Sales].[Date]" caption="Date" attribute="1" time="1" defaultMemberUniqueName="[Tab_Sales].[Date].[All]" allUniqueName="[Tab_Sales].[Date].[All]" dimensionUniqueName="[Tab_Sales]" displayFolder="" count="0" memberValueDatatype="7" unbalanced="0"/>
    <cacheHierarchy uniqueName="[Tab_Sales].[Book_ID]" caption="Book_ID" attribute="1" defaultMemberUniqueName="[Tab_Sales].[Book_ID].[All]" allUniqueName="[Tab_Sales].[Book_ID].[All]" dimensionUniqueName="[Tab_Sales]" displayFolder="" count="0" memberValueDatatype="130" unbalanced="0"/>
    <cacheHierarchy uniqueName="[Tab_Sales].[Store_Location]" caption="Store_Location" attribute="1" defaultMemberUniqueName="[Tab_Sales].[Store_Location].[All]" allUniqueName="[Tab_Sales].[Store_Location].[All]" dimensionUniqueName="[Tab_Sales]" displayFolder="" count="0" memberValueDatatype="130" unbalanced="0"/>
    <cacheHierarchy uniqueName="[Tab_Sales].[Units_Sold]" caption="Units_Sold" attribute="1" defaultMemberUniqueName="[Tab_Sales].[Units_Sold].[All]" allUniqueName="[Tab_Sales].[Units_Sold].[All]" dimensionUniqueName="[Tab_Sales]" displayFolder="" count="0" memberValueDatatype="20" unbalanced="0"/>
    <cacheHierarchy uniqueName="[Tab_Sales].[Unit Price]" caption="Unit Price" attribute="1" defaultMemberUniqueName="[Tab_Sales].[Unit Price].[All]" allUniqueName="[Tab_Sales].[Unit Price].[All]" dimensionUniqueName="[Tab_Sales]" displayFolder="" count="0" memberValueDatatype="5" unbalanced="0"/>
    <cacheHierarchy uniqueName="[Tab_Sales].[Cost]" caption="Cost" attribute="1" defaultMemberUniqueName="[Tab_Sales].[Cost].[All]" allUniqueName="[Tab_Sales].[Cost].[All]" dimensionUniqueName="[Tab_Sales]" displayFolder="" count="0" memberValueDatatype="5" unbalanced="0"/>
    <cacheHierarchy uniqueName="[Tab_Sales].[Total Revenue]" caption="Total Revenue" attribute="1" defaultMemberUniqueName="[Tab_Sales].[Total Revenue].[All]" allUniqueName="[Tab_Sales].[Total Revenue].[All]" dimensionUniqueName="[Tab_Sales]" displayFolder="" count="0" memberValueDatatype="5" unbalanced="0"/>
    <cacheHierarchy uniqueName="[Tab_Sales].[Total Cost]" caption="Total Cost" attribute="1" defaultMemberUniqueName="[Tab_Sales].[Total Cost].[All]" allUniqueName="[Tab_Sales].[Total Cost].[All]" dimensionUniqueName="[Tab_Sales]" displayFolder="" count="0" memberValueDatatype="5" unbalanced="0"/>
    <cacheHierarchy uniqueName="[Tab_Sales].[Total Profit]" caption="Total Profit" attribute="1" defaultMemberUniqueName="[Tab_Sales].[Total Profit].[All]" allUniqueName="[Tab_Sales].[Total Profit].[All]" dimensionUniqueName="[Tab_Sales]" displayFolder="" count="0" memberValueDatatype="5" unbalanced="0"/>
    <cacheHierarchy uniqueName="[Measures].[__XL_Count Tab_Sales]" caption="__XL_Count Tab_Sales" measure="1" displayFolder="" measureGroup="Tab_Sales" count="0" hidden="1"/>
    <cacheHierarchy uniqueName="[Measures].[__XL_Count Tab_Products]" caption="__XL_Count Tab_Products" measure="1" displayFolder="" measureGroup="Tab_Products" count="0" hidden="1"/>
    <cacheHierarchy uniqueName="[Measures].[__XL_Count Tab_Managers]" caption="__XL_Count Tab_Managers" measure="1" displayFolder="" measureGroup="Tab_Managers" count="0" hidden="1"/>
    <cacheHierarchy uniqueName="[Measures].[__XL_Count Tab_Efficiency]" caption="__XL_Count Tab_Efficiency" measure="1" displayFolder="" measureGroup="Tab_Efficiency" count="0" hidden="1"/>
    <cacheHierarchy uniqueName="[Measures].[__No measures defined]" caption="__No measures defined" measure="1" displayFolder="" count="0" hidden="1"/>
    <cacheHierarchy uniqueName="[Measures].[Sum of Total Cost]" caption="Sum of Total Cost" measure="1" displayFolder="" measureGroup="Tab_Sale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Tab_Sales" count="0" hidden="1">
      <extLst>
        <ext xmlns:x15="http://schemas.microsoft.com/office/spreadsheetml/2010/11/main" uri="{B97F6D7D-B522-45F9-BDA1-12C45D357490}">
          <x15:cacheHierarchy aggregatedColumn="23"/>
        </ext>
      </extLst>
    </cacheHierarchy>
    <cacheHierarchy uniqueName="[Measures].[Sum of Profit per Staff]" caption="Sum of Profit per Staff" measure="1" displayFolder="" measureGroup="Tab_Efficiency"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844166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42FA6-D514-40D9-82D5-5A39B58CDC20}" name="PivotTable1"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Total Profit" fld="0" baseField="0" baseItem="0" numFmtId="165"/>
  </dataFields>
  <formats count="1">
    <format dxfId="30">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_Sales]"/>
        <x15:activeTabTopLevelEntity name="[Tab_Products]"/>
        <x15:activeTabTopLevelEntity name="[Tab_Manag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A2759-E449-4944-BC75-9DD1ED038674}"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Profit" fld="1" baseField="0" baseItem="0" numFmtId="165"/>
  </dataFields>
  <formats count="1">
    <format dxfId="29">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_Sales]"/>
        <x15:activeTabTopLevelEntity name="[Tab_Managers]"/>
        <x15:activeTabTopLevelEntity name="[Tab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0040E5-EE17-40AA-A4DE-B6FFE4EFBCF5}"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per Staff" fld="0" baseField="0" baseItem="0"/>
  </dataFields>
  <formats count="2">
    <format dxfId="28">
      <pivotArea collapsedLevelsAreSubtotals="1" fieldPosition="0">
        <references count="1">
          <reference field="1" count="0"/>
        </references>
      </pivotArea>
    </format>
    <format dxfId="27">
      <pivotArea grandRow="1"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_Efficiency" relNeededHidden="1">
        <x15:activeTabTopLevelEntity name="[Tab_Efficiency]"/>
        <x15:activeTabTopLevelEntity name="[Tab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13C17DB-3FB1-4052-9A2F-ED7A818B3D49}" sourceName="[Tab_Products].[Genre]">
  <pivotTables>
    <pivotTable tabId="6" name="PivotTable2"/>
    <pivotTable tabId="7" name="PivotTable3"/>
    <pivotTable tabId="4" name="PivotTable1"/>
  </pivotTables>
  <data>
    <olap pivotCacheId="284416621">
      <levels count="2">
        <level uniqueName="[Tab_Products].[Genre].[(All)]" sourceCaption="(All)" count="0"/>
        <level uniqueName="[Tab_Products].[Genre].[Genre]" sourceCaption="Genre" count="2">
          <ranges>
            <range startItem="0">
              <i n="[Tab_Products].[Genre].&amp;[Fantasy]" c="Fantasy"/>
              <i n="[Tab_Products].[Genre].&amp;[Sci-Fi]" c="Sci-Fi"/>
            </range>
          </ranges>
        </level>
      </levels>
      <selections count="1">
        <selection n="[Tab_Products].[Gen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6AC4E1B3-7445-486F-AC2C-694B8EDFE6E6}" cache="Slicer_Genre" caption="Genre"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75CA5-62B2-45DC-98C2-2CEE2D9FFDF5}" name="Tab_Sales" displayName="Tab_Sales" ref="A1:J51" totalsRowShown="0" headerRowDxfId="26">
  <autoFilter ref="A1:J51" xr:uid="{6E775CA5-62B2-45DC-98C2-2CEE2D9FFDF5}"/>
  <tableColumns count="10">
    <tableColumn id="1" xr3:uid="{8631D659-0298-40C5-BF7F-E4CD60CF3280}" name="Order_ID"/>
    <tableColumn id="2" xr3:uid="{2E4B1082-624A-4564-933C-FF1DF4F26A3F}" name="Date" dataDxfId="25"/>
    <tableColumn id="3" xr3:uid="{4961DD5E-111E-48DB-BAED-1CDEB5FFC291}" name="Book_ID"/>
    <tableColumn id="5" xr3:uid="{9ECC2DD8-FE1E-4AD1-A844-D4DEC7BE8BFC}" name="Store_Location"/>
    <tableColumn id="4" xr3:uid="{2E6C04A5-29A8-4338-A4F0-571317ABF6AC}" name="Units_Sold"/>
    <tableColumn id="6" xr3:uid="{048F5B3D-2887-482B-A697-4169B7BD6176}" name="Unit Price" dataDxfId="24">
      <calculatedColumnFormula>_xlfn.XLOOKUP(C2, Products!$A$2:$A$11, Products!$G$2:$G$11)</calculatedColumnFormula>
    </tableColumn>
    <tableColumn id="8" xr3:uid="{46DEF936-D6A4-4183-852F-174C485DCB3C}" name="Cost" dataDxfId="23">
      <calculatedColumnFormula>_xlfn.XLOOKUP(C2, Products!$A$2:$A$11, Products!$F$2:$F$11)</calculatedColumnFormula>
    </tableColumn>
    <tableColumn id="7" xr3:uid="{7F8270C1-4D45-40E3-B1DF-6FA688B22C7D}" name="Total Revenue" dataDxfId="22">
      <calculatedColumnFormula>E2*F2</calculatedColumnFormula>
    </tableColumn>
    <tableColumn id="10" xr3:uid="{5BD3CFFE-F309-4BD3-9E01-3BDC86FD4BA6}" name="Total Cost" dataDxfId="21">
      <calculatedColumnFormula>E2*G2</calculatedColumnFormula>
    </tableColumn>
    <tableColumn id="9" xr3:uid="{9605FC7B-68CF-44B0-81B6-4ACC2C3158A9}" name="Total Profit" dataDxfId="20">
      <calculatedColumnFormula>(F2 - G2) * 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079DA7-1950-4299-955F-2792EADD64CF}" name="Tab_Products" displayName="Tab_Products" ref="A1:G11" totalsRowShown="0" headerRowDxfId="19">
  <autoFilter ref="A1:G11" xr:uid="{02079DA7-1950-4299-955F-2792EADD64CF}"/>
  <tableColumns count="7">
    <tableColumn id="1" xr3:uid="{E28F8051-56B9-426A-902F-6F25798E591F}" name="Book_ID"/>
    <tableColumn id="2" xr3:uid="{026F56FF-E049-4B08-B306-58F5756BC120}" name="Title"/>
    <tableColumn id="3" xr3:uid="{0B4909B6-3C42-4773-B1A0-98754462F9F7}" name="Author"/>
    <tableColumn id="4" xr3:uid="{64DCFB18-ADAD-474D-9D8B-F85E6DB3B98F}" name="Genre"/>
    <tableColumn id="6" xr3:uid="{A742237E-2664-4178-9F25-6CE8ED075A99}" name="Stock (Units)"/>
    <tableColumn id="7" xr3:uid="{12B940BD-91DC-4694-8CE9-454789F5EF80}" name="Cost" dataDxfId="18">
      <calculatedColumnFormula>Tab_Products[[#This Row],[Price]]*0.6</calculatedColumnFormula>
    </tableColumn>
    <tableColumn id="5" xr3:uid="{1283E1DB-F2B1-4C76-A46E-B86EFC1930AB}" name="Pric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93D317-4D12-4E0A-BDE4-2E225D1A87CA}" name="Tab_Managers" displayName="Tab_Managers" ref="A1:C4" totalsRowShown="0" headerRowDxfId="16">
  <autoFilter ref="A1:C4" xr:uid="{6093D317-4D12-4E0A-BDE4-2E225D1A87CA}"/>
  <tableColumns count="3">
    <tableColumn id="1" xr3:uid="{80D5E9A2-C143-4097-A457-B8DABBE7A16A}" name="Store_Location"/>
    <tableColumn id="2" xr3:uid="{09867F5B-084B-4CAB-BCE1-459251DA1D38}" name="Manager"/>
    <tableColumn id="3" xr3:uid="{8A67C29E-A8EA-499E-BC51-0818B40930A8}" name="Staff_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90D09D-8D29-4970-B623-192AE080EC2C}" name="Tab_Efficiency" displayName="Tab_Efficiency" ref="A15:D18" totalsRowShown="0" headerRowDxfId="15">
  <autoFilter ref="A15:D18" xr:uid="{2490D09D-8D29-4970-B623-192AE080EC2C}"/>
  <tableColumns count="4">
    <tableColumn id="1" xr3:uid="{617AA367-C2BA-4CCE-AAAE-20DF2BF0C8B5}" name="Store"/>
    <tableColumn id="2" xr3:uid="{E3363FAA-1C43-4A69-84DC-FD2882896E4C}" name="Total Profit" dataDxfId="14"/>
    <tableColumn id="3" xr3:uid="{2FB6D0F4-A758-47DD-B903-8F4492452481}" name="Staff Count"/>
    <tableColumn id="4" xr3:uid="{CF02234B-B026-40D1-B50F-9C36A623D724}" name="Profit per Staff" dataDxfId="13">
      <calculatedColumnFormula>B16/C16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870D-2EFE-4C6A-B37C-D1A00B6123A1}">
  <dimension ref="A1:Y49"/>
  <sheetViews>
    <sheetView showGridLines="0" tabSelected="1" workbookViewId="0">
      <selection activeCell="R30" sqref="R30"/>
    </sheetView>
  </sheetViews>
  <sheetFormatPr defaultRowHeight="14.5" x14ac:dyDescent="0.35"/>
  <sheetData>
    <row r="1" spans="1:25" x14ac:dyDescent="0.35">
      <c r="A1" s="7"/>
      <c r="B1" s="7"/>
      <c r="C1" s="7"/>
      <c r="D1" s="7"/>
      <c r="E1" s="7"/>
      <c r="F1" s="7"/>
      <c r="G1" s="7"/>
      <c r="H1" s="7"/>
      <c r="I1" s="7"/>
      <c r="J1" s="7"/>
      <c r="K1" s="7"/>
      <c r="L1" s="7"/>
      <c r="M1" s="7"/>
      <c r="N1" s="7"/>
      <c r="O1" s="7"/>
      <c r="P1" s="7"/>
      <c r="Q1" s="7"/>
      <c r="R1" s="7"/>
      <c r="S1" s="7"/>
      <c r="T1" s="7"/>
      <c r="U1" s="7"/>
      <c r="V1" s="7"/>
      <c r="W1" s="7"/>
      <c r="X1" s="7"/>
      <c r="Y1" s="7"/>
    </row>
    <row r="2" spans="1:25" ht="26" x14ac:dyDescent="0.6">
      <c r="A2" s="7"/>
      <c r="B2" s="8" t="s">
        <v>112</v>
      </c>
      <c r="C2" s="7"/>
      <c r="D2" s="7"/>
      <c r="E2" s="7"/>
      <c r="F2" s="7"/>
      <c r="G2" s="7"/>
      <c r="H2" s="7"/>
      <c r="I2" s="7"/>
      <c r="J2" s="7"/>
      <c r="K2" s="7"/>
      <c r="L2" s="7"/>
      <c r="M2" s="7"/>
      <c r="N2" s="7"/>
      <c r="O2" s="7"/>
      <c r="P2" s="7"/>
      <c r="Q2" s="7"/>
      <c r="R2" s="7"/>
      <c r="S2" s="7"/>
      <c r="T2" s="7"/>
      <c r="U2" s="7"/>
      <c r="V2" s="7"/>
      <c r="W2" s="7"/>
      <c r="X2" s="7"/>
      <c r="Y2" s="7"/>
    </row>
    <row r="3" spans="1:25" x14ac:dyDescent="0.35">
      <c r="A3" s="7"/>
      <c r="B3" s="7"/>
      <c r="C3" s="7"/>
      <c r="D3" s="7"/>
      <c r="E3" s="7"/>
      <c r="F3" s="7"/>
      <c r="G3" s="7"/>
      <c r="H3" s="7"/>
      <c r="I3" s="7"/>
      <c r="J3" s="7"/>
      <c r="K3" s="7"/>
      <c r="L3" s="7"/>
      <c r="M3" s="7"/>
      <c r="N3" s="7"/>
      <c r="O3" s="7"/>
      <c r="P3" s="7"/>
      <c r="Q3" s="7"/>
      <c r="R3" s="7"/>
      <c r="S3" s="7"/>
      <c r="T3" s="7"/>
      <c r="U3" s="7"/>
      <c r="V3" s="7"/>
      <c r="W3" s="7"/>
      <c r="X3" s="7"/>
      <c r="Y3" s="7"/>
    </row>
    <row r="4" spans="1:25" x14ac:dyDescent="0.35">
      <c r="A4" s="7"/>
      <c r="B4" s="7"/>
      <c r="C4" s="7"/>
      <c r="D4" s="7"/>
      <c r="E4" s="7"/>
      <c r="F4" s="7"/>
      <c r="G4" s="7"/>
      <c r="H4" s="7"/>
      <c r="I4" s="7"/>
      <c r="J4" s="7"/>
      <c r="K4" s="7"/>
      <c r="L4" s="7"/>
      <c r="M4" s="7"/>
      <c r="N4" s="7"/>
      <c r="O4" s="7"/>
      <c r="P4" s="7"/>
      <c r="Q4" s="7"/>
      <c r="R4" s="7"/>
      <c r="S4" s="7"/>
      <c r="T4" s="7"/>
      <c r="U4" s="7"/>
      <c r="V4" s="7"/>
      <c r="W4" s="7"/>
      <c r="X4" s="7"/>
      <c r="Y4" s="7"/>
    </row>
    <row r="5" spans="1:25" x14ac:dyDescent="0.35">
      <c r="A5" s="7"/>
      <c r="B5" s="7"/>
      <c r="C5" s="7"/>
      <c r="D5" s="7"/>
      <c r="E5" s="7"/>
      <c r="F5" s="7"/>
      <c r="G5" s="7"/>
      <c r="H5" s="7"/>
      <c r="I5" s="7"/>
      <c r="J5" s="7"/>
      <c r="K5" s="7"/>
      <c r="L5" s="7"/>
      <c r="M5" s="7"/>
      <c r="N5" s="7"/>
      <c r="O5" s="7"/>
      <c r="P5" s="7"/>
      <c r="Q5" s="7"/>
      <c r="R5" s="7"/>
      <c r="S5" s="7"/>
      <c r="T5" s="7"/>
      <c r="U5" s="7"/>
      <c r="V5" s="7"/>
      <c r="W5" s="7"/>
      <c r="X5" s="7"/>
      <c r="Y5" s="7"/>
    </row>
    <row r="6" spans="1:25" x14ac:dyDescent="0.35">
      <c r="A6" s="7"/>
      <c r="B6" s="7"/>
      <c r="C6" s="7"/>
      <c r="D6" s="7"/>
      <c r="E6" s="7"/>
      <c r="F6" s="7"/>
      <c r="G6" s="7"/>
      <c r="H6" s="7"/>
      <c r="I6" s="7"/>
      <c r="J6" s="7"/>
      <c r="K6" s="7"/>
      <c r="L6" s="7"/>
      <c r="M6" s="7"/>
      <c r="N6" s="7"/>
      <c r="O6" s="7"/>
      <c r="P6" s="7"/>
      <c r="Q6" s="7"/>
      <c r="R6" s="7"/>
      <c r="S6" s="7"/>
      <c r="T6" s="7"/>
      <c r="U6" s="7"/>
      <c r="V6" s="7"/>
      <c r="W6" s="7"/>
      <c r="X6" s="7"/>
      <c r="Y6" s="7"/>
    </row>
    <row r="7" spans="1:25" x14ac:dyDescent="0.35">
      <c r="A7" s="7"/>
      <c r="B7" s="7"/>
      <c r="C7" s="7"/>
      <c r="D7" s="7"/>
      <c r="E7" s="7"/>
      <c r="F7" s="7"/>
      <c r="G7" s="7"/>
      <c r="H7" s="7"/>
      <c r="I7" s="7"/>
      <c r="J7" s="7"/>
      <c r="K7" s="7"/>
      <c r="L7" s="7"/>
      <c r="M7" s="7"/>
      <c r="N7" s="7"/>
      <c r="O7" s="7"/>
      <c r="P7" s="7"/>
      <c r="Q7" s="7"/>
      <c r="R7" s="7"/>
      <c r="S7" s="7"/>
      <c r="T7" s="7"/>
      <c r="U7" s="7"/>
      <c r="V7" s="7"/>
      <c r="W7" s="7"/>
      <c r="X7" s="7"/>
      <c r="Y7" s="7"/>
    </row>
    <row r="8" spans="1:25" x14ac:dyDescent="0.35">
      <c r="A8" s="7"/>
      <c r="B8" s="7"/>
      <c r="C8" s="7"/>
      <c r="D8" s="7"/>
      <c r="E8" s="7"/>
      <c r="F8" s="7"/>
      <c r="G8" s="7"/>
      <c r="H8" s="7"/>
      <c r="I8" s="7"/>
      <c r="J8" s="7"/>
      <c r="K8" s="7"/>
      <c r="L8" s="7"/>
      <c r="M8" s="7"/>
      <c r="N8" s="7"/>
      <c r="O8" s="7"/>
      <c r="P8" s="7"/>
      <c r="Q8" s="7"/>
      <c r="R8" s="7"/>
      <c r="S8" s="7"/>
      <c r="T8" s="7"/>
      <c r="U8" s="7"/>
      <c r="V8" s="7"/>
      <c r="W8" s="7"/>
      <c r="X8" s="7"/>
      <c r="Y8" s="7"/>
    </row>
    <row r="9" spans="1:25" x14ac:dyDescent="0.35">
      <c r="A9" s="7"/>
      <c r="B9" s="7"/>
      <c r="C9" s="7"/>
      <c r="D9" s="7"/>
      <c r="E9" s="7"/>
      <c r="F9" s="7"/>
      <c r="G9" s="7"/>
      <c r="H9" s="7"/>
      <c r="I9" s="7"/>
      <c r="J9" s="7"/>
      <c r="K9" s="7"/>
      <c r="L9" s="7"/>
      <c r="M9" s="7"/>
      <c r="N9" s="7"/>
      <c r="O9" s="7"/>
      <c r="P9" s="7"/>
      <c r="Q9" s="7"/>
      <c r="R9" s="7"/>
      <c r="S9" s="7"/>
      <c r="T9" s="7"/>
      <c r="U9" s="7"/>
      <c r="V9" s="7"/>
      <c r="W9" s="7"/>
      <c r="X9" s="7"/>
      <c r="Y9" s="7"/>
    </row>
    <row r="10" spans="1:25" x14ac:dyDescent="0.35">
      <c r="A10" s="7"/>
      <c r="B10" s="7"/>
      <c r="C10" s="7"/>
      <c r="D10" s="7"/>
      <c r="E10" s="7"/>
      <c r="F10" s="7"/>
      <c r="G10" s="7"/>
      <c r="H10" s="7"/>
      <c r="I10" s="7"/>
      <c r="J10" s="7"/>
      <c r="K10" s="7"/>
      <c r="L10" s="7"/>
      <c r="M10" s="7"/>
      <c r="N10" s="7"/>
      <c r="O10" s="7"/>
      <c r="P10" s="7"/>
      <c r="Q10" s="7"/>
      <c r="R10" s="7"/>
      <c r="S10" s="7"/>
      <c r="T10" s="7"/>
      <c r="U10" s="7"/>
      <c r="V10" s="7"/>
      <c r="W10" s="7"/>
      <c r="X10" s="7"/>
      <c r="Y10" s="7"/>
    </row>
    <row r="11" spans="1:25" x14ac:dyDescent="0.35">
      <c r="A11" s="7"/>
      <c r="B11" s="7"/>
      <c r="C11" s="7"/>
      <c r="D11" s="7"/>
      <c r="E11" s="7"/>
      <c r="F11" s="7"/>
      <c r="G11" s="7"/>
      <c r="H11" s="7"/>
      <c r="I11" s="7"/>
      <c r="J11" s="7"/>
      <c r="K11" s="7"/>
      <c r="L11" s="7"/>
      <c r="M11" s="7"/>
      <c r="N11" s="7"/>
      <c r="O11" s="7"/>
      <c r="P11" s="7"/>
      <c r="Q11" s="7"/>
      <c r="R11" s="7"/>
      <c r="S11" s="7"/>
      <c r="T11" s="7"/>
      <c r="U11" s="7"/>
      <c r="V11" s="7"/>
      <c r="W11" s="7"/>
      <c r="X11" s="7"/>
      <c r="Y11" s="7"/>
    </row>
    <row r="12" spans="1:25" x14ac:dyDescent="0.35">
      <c r="A12" s="7"/>
      <c r="B12" s="7"/>
      <c r="C12" s="7"/>
      <c r="D12" s="7"/>
      <c r="E12" s="7"/>
      <c r="F12" s="7"/>
      <c r="G12" s="7"/>
      <c r="H12" s="7"/>
      <c r="I12" s="7"/>
      <c r="J12" s="7"/>
      <c r="K12" s="7"/>
      <c r="L12" s="7"/>
      <c r="M12" s="7"/>
      <c r="N12" s="7"/>
      <c r="O12" s="7"/>
      <c r="P12" s="7"/>
      <c r="Q12" s="7"/>
      <c r="R12" s="7"/>
      <c r="S12" s="7"/>
      <c r="T12" s="7"/>
      <c r="U12" s="7"/>
      <c r="V12" s="7"/>
      <c r="W12" s="7"/>
      <c r="X12" s="7"/>
      <c r="Y12" s="7"/>
    </row>
    <row r="13" spans="1:25" x14ac:dyDescent="0.35">
      <c r="A13" s="7"/>
      <c r="B13" s="7"/>
      <c r="C13" s="7"/>
      <c r="D13" s="7"/>
      <c r="E13" s="7"/>
      <c r="F13" s="7"/>
      <c r="G13" s="7"/>
      <c r="H13" s="7"/>
      <c r="I13" s="7"/>
      <c r="J13" s="7"/>
      <c r="K13" s="7"/>
      <c r="L13" s="7"/>
      <c r="M13" s="7"/>
      <c r="N13" s="7"/>
      <c r="O13" s="7"/>
      <c r="P13" s="7"/>
      <c r="Q13" s="7"/>
      <c r="R13" s="7"/>
      <c r="S13" s="7"/>
      <c r="T13" s="7"/>
      <c r="U13" s="7"/>
      <c r="V13" s="7"/>
      <c r="W13" s="7"/>
      <c r="X13" s="7"/>
      <c r="Y13" s="7"/>
    </row>
    <row r="14" spans="1:25" x14ac:dyDescent="0.35">
      <c r="A14" s="7"/>
      <c r="B14" s="7"/>
      <c r="C14" s="7"/>
      <c r="D14" s="7"/>
      <c r="E14" s="7"/>
      <c r="F14" s="7"/>
      <c r="G14" s="7"/>
      <c r="H14" s="7"/>
      <c r="I14" s="7"/>
      <c r="J14" s="7"/>
      <c r="K14" s="7"/>
      <c r="L14" s="7"/>
      <c r="M14" s="7"/>
      <c r="N14" s="7"/>
      <c r="O14" s="7"/>
      <c r="P14" s="7"/>
      <c r="Q14" s="7"/>
      <c r="R14" s="7"/>
      <c r="S14" s="7"/>
      <c r="T14" s="7"/>
      <c r="U14" s="7"/>
      <c r="V14" s="7"/>
      <c r="W14" s="7"/>
      <c r="X14" s="7"/>
      <c r="Y14" s="7"/>
    </row>
    <row r="15" spans="1:25" x14ac:dyDescent="0.3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5">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5">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5">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5">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5">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5">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5">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5">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5">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5">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5">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5">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5">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5">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5">
      <c r="A39" s="7"/>
      <c r="B39" s="7"/>
      <c r="C39" s="7"/>
      <c r="D39" s="7"/>
      <c r="E39" s="7"/>
      <c r="F39" s="7"/>
      <c r="G39" s="7"/>
      <c r="H39" s="7"/>
      <c r="I39" s="7"/>
      <c r="J39" s="7"/>
      <c r="K39" s="7"/>
      <c r="L39" s="7"/>
      <c r="M39" s="7"/>
      <c r="N39" s="7"/>
      <c r="O39" s="7"/>
      <c r="P39" s="7"/>
      <c r="Q39" s="7"/>
      <c r="R39" s="7"/>
      <c r="S39" s="7"/>
      <c r="T39" s="7"/>
      <c r="U39" s="7"/>
      <c r="V39" s="7"/>
      <c r="W39" s="7"/>
      <c r="X39" s="7"/>
      <c r="Y39" s="7"/>
    </row>
    <row r="40" spans="1:25"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x14ac:dyDescent="0.35">
      <c r="A42" s="7"/>
      <c r="B42" s="7"/>
      <c r="C42" s="7"/>
      <c r="D42" s="7"/>
      <c r="E42" s="7"/>
      <c r="F42" s="7"/>
      <c r="G42" s="7"/>
      <c r="H42" s="7"/>
      <c r="I42" s="7"/>
      <c r="J42" s="7"/>
      <c r="K42" s="7"/>
      <c r="L42" s="7"/>
      <c r="M42" s="7"/>
      <c r="N42" s="7"/>
      <c r="O42" s="7"/>
      <c r="P42" s="7"/>
      <c r="Q42" s="7"/>
      <c r="R42" s="7"/>
      <c r="S42" s="7"/>
      <c r="T42" s="7"/>
      <c r="U42" s="7"/>
      <c r="V42" s="7"/>
      <c r="W42" s="7"/>
      <c r="X42" s="7"/>
      <c r="Y42" s="7"/>
    </row>
    <row r="43" spans="1:25" x14ac:dyDescent="0.35">
      <c r="A43" s="7"/>
      <c r="B43" s="7"/>
      <c r="C43" s="7"/>
      <c r="D43" s="7"/>
      <c r="E43" s="7"/>
      <c r="F43" s="7"/>
      <c r="G43" s="7"/>
      <c r="H43" s="7"/>
      <c r="I43" s="7"/>
      <c r="J43" s="7"/>
      <c r="K43" s="7"/>
      <c r="L43" s="7"/>
      <c r="M43" s="7"/>
      <c r="N43" s="7"/>
      <c r="O43" s="7"/>
      <c r="P43" s="7"/>
      <c r="Q43" s="7"/>
      <c r="R43" s="7"/>
      <c r="S43" s="7"/>
      <c r="T43" s="7"/>
      <c r="U43" s="7"/>
      <c r="V43" s="7"/>
      <c r="W43" s="7"/>
      <c r="X43" s="7"/>
      <c r="Y43" s="7"/>
    </row>
    <row r="44" spans="1:25" x14ac:dyDescent="0.35">
      <c r="A44" s="7"/>
      <c r="B44" s="7"/>
      <c r="C44" s="7"/>
      <c r="D44" s="7"/>
      <c r="E44" s="7"/>
      <c r="F44" s="7"/>
      <c r="G44" s="7"/>
      <c r="H44" s="7"/>
      <c r="I44" s="7"/>
      <c r="J44" s="7"/>
      <c r="K44" s="7"/>
      <c r="L44" s="7"/>
      <c r="M44" s="7"/>
      <c r="N44" s="7"/>
      <c r="O44" s="7"/>
      <c r="P44" s="7"/>
      <c r="Q44" s="7"/>
      <c r="R44" s="7"/>
      <c r="S44" s="7"/>
      <c r="T44" s="7"/>
      <c r="U44" s="7"/>
      <c r="V44" s="7"/>
      <c r="W44" s="7"/>
      <c r="X44" s="7"/>
      <c r="Y44" s="7"/>
    </row>
    <row r="45" spans="1:25" x14ac:dyDescent="0.35">
      <c r="A45" s="7"/>
      <c r="B45" s="7"/>
      <c r="C45" s="7"/>
      <c r="D45" s="7"/>
      <c r="E45" s="7"/>
      <c r="F45" s="7"/>
      <c r="G45" s="7"/>
      <c r="H45" s="7"/>
      <c r="I45" s="7"/>
      <c r="J45" s="7"/>
      <c r="K45" s="7"/>
      <c r="L45" s="7"/>
      <c r="M45" s="7"/>
      <c r="N45" s="7"/>
      <c r="O45" s="7"/>
      <c r="P45" s="7"/>
      <c r="Q45" s="7"/>
      <c r="R45" s="7"/>
      <c r="S45" s="7"/>
      <c r="T45" s="7"/>
      <c r="U45" s="7"/>
      <c r="V45" s="7"/>
      <c r="W45" s="7"/>
      <c r="X45" s="7"/>
      <c r="Y45" s="7"/>
    </row>
    <row r="46" spans="1:25" x14ac:dyDescent="0.35">
      <c r="A46" s="7"/>
      <c r="B46" s="7"/>
      <c r="C46" s="7"/>
      <c r="D46" s="7"/>
      <c r="E46" s="7"/>
      <c r="F46" s="7"/>
      <c r="G46" s="7"/>
      <c r="H46" s="7"/>
      <c r="I46" s="7"/>
      <c r="J46" s="7"/>
      <c r="K46" s="7"/>
      <c r="L46" s="7"/>
      <c r="M46" s="7"/>
      <c r="N46" s="7"/>
      <c r="O46" s="7"/>
      <c r="P46" s="7"/>
      <c r="Q46" s="7"/>
      <c r="R46" s="7"/>
      <c r="S46" s="7"/>
      <c r="T46" s="7"/>
      <c r="U46" s="7"/>
      <c r="V46" s="7"/>
      <c r="W46" s="7"/>
      <c r="X46" s="7"/>
      <c r="Y46" s="7"/>
    </row>
    <row r="47" spans="1:25" x14ac:dyDescent="0.35">
      <c r="A47" s="7"/>
      <c r="B47" s="7"/>
      <c r="C47" s="7"/>
      <c r="D47" s="7"/>
      <c r="E47" s="7"/>
      <c r="F47" s="7"/>
      <c r="G47" s="7"/>
      <c r="H47" s="7"/>
      <c r="I47" s="7"/>
      <c r="J47" s="7"/>
      <c r="K47" s="7"/>
      <c r="L47" s="7"/>
      <c r="M47" s="7"/>
      <c r="N47" s="7"/>
      <c r="O47" s="7"/>
      <c r="P47" s="7"/>
      <c r="Q47" s="7"/>
      <c r="R47" s="7"/>
      <c r="S47" s="7"/>
      <c r="T47" s="7"/>
      <c r="U47" s="7"/>
      <c r="V47" s="7"/>
      <c r="W47" s="7"/>
      <c r="X47" s="7"/>
      <c r="Y47" s="7"/>
    </row>
    <row r="48" spans="1:25" x14ac:dyDescent="0.35">
      <c r="A48" s="7"/>
      <c r="B48" s="7"/>
      <c r="C48" s="7"/>
      <c r="D48" s="7"/>
      <c r="E48" s="7"/>
      <c r="F48" s="7"/>
      <c r="G48" s="7"/>
      <c r="H48" s="7"/>
      <c r="I48" s="7"/>
      <c r="J48" s="7"/>
      <c r="K48" s="7"/>
      <c r="L48" s="7"/>
      <c r="M48" s="7"/>
      <c r="N48" s="7"/>
      <c r="O48" s="7"/>
      <c r="P48" s="7"/>
      <c r="Q48" s="7"/>
      <c r="R48" s="7"/>
      <c r="S48" s="7"/>
      <c r="T48" s="7"/>
      <c r="U48" s="7"/>
      <c r="V48" s="7"/>
      <c r="W48" s="7"/>
      <c r="X48" s="7"/>
      <c r="Y48" s="7"/>
    </row>
    <row r="49" spans="1:25" x14ac:dyDescent="0.35">
      <c r="A49" s="7"/>
      <c r="B49" s="7"/>
      <c r="C49" s="7"/>
      <c r="D49" s="7"/>
      <c r="E49" s="7"/>
      <c r="F49" s="7"/>
      <c r="G49" s="7"/>
      <c r="H49" s="7"/>
      <c r="I49" s="7"/>
      <c r="J49" s="7"/>
      <c r="K49" s="7"/>
      <c r="L49" s="7"/>
      <c r="M49" s="7"/>
      <c r="N49" s="7"/>
      <c r="O49" s="7"/>
      <c r="P49" s="7"/>
      <c r="Q49" s="7"/>
      <c r="R49" s="7"/>
      <c r="S49" s="7"/>
      <c r="T49" s="7"/>
      <c r="U49" s="7"/>
      <c r="V49" s="7"/>
      <c r="W49" s="7"/>
      <c r="X49" s="7"/>
      <c r="Y4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4E20B-65A2-4250-83FA-E969EB982B4F}">
  <dimension ref="A3:B6"/>
  <sheetViews>
    <sheetView workbookViewId="0">
      <selection activeCell="B4" sqref="B4:B6"/>
    </sheetView>
  </sheetViews>
  <sheetFormatPr defaultRowHeight="14.5" x14ac:dyDescent="0.35"/>
  <cols>
    <col min="1" max="1" width="12.453125" bestFit="1" customWidth="1"/>
    <col min="2" max="3" width="16.08984375" bestFit="1" customWidth="1"/>
  </cols>
  <sheetData>
    <row r="3" spans="1:2" x14ac:dyDescent="0.35">
      <c r="A3" s="5" t="s">
        <v>105</v>
      </c>
      <c r="B3" t="s">
        <v>107</v>
      </c>
    </row>
    <row r="4" spans="1:2" x14ac:dyDescent="0.35">
      <c r="A4" s="6" t="s">
        <v>69</v>
      </c>
      <c r="B4" s="3">
        <v>816.2</v>
      </c>
    </row>
    <row r="5" spans="1:2" x14ac:dyDescent="0.35">
      <c r="A5" s="6" t="s">
        <v>72</v>
      </c>
      <c r="B5" s="3">
        <v>634.4</v>
      </c>
    </row>
    <row r="6" spans="1:2" x14ac:dyDescent="0.35">
      <c r="A6" s="6" t="s">
        <v>106</v>
      </c>
      <c r="B6" s="3">
        <v>1450.6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3227B-3585-4506-B8D4-008F308C97E2}">
  <dimension ref="A3:B7"/>
  <sheetViews>
    <sheetView workbookViewId="0">
      <selection activeCell="B4" sqref="B4:B7"/>
    </sheetView>
  </sheetViews>
  <sheetFormatPr defaultRowHeight="14.5" x14ac:dyDescent="0.35"/>
  <cols>
    <col min="1" max="1" width="12.453125" bestFit="1" customWidth="1"/>
    <col min="2" max="2" width="16.08984375" bestFit="1" customWidth="1"/>
  </cols>
  <sheetData>
    <row r="3" spans="1:2" x14ac:dyDescent="0.35">
      <c r="A3" s="5" t="s">
        <v>105</v>
      </c>
      <c r="B3" t="s">
        <v>107</v>
      </c>
    </row>
    <row r="4" spans="1:2" x14ac:dyDescent="0.35">
      <c r="A4" s="6" t="s">
        <v>82</v>
      </c>
      <c r="B4" s="3">
        <v>443.80000000000007</v>
      </c>
    </row>
    <row r="5" spans="1:2" x14ac:dyDescent="0.35">
      <c r="A5" s="6" t="s">
        <v>83</v>
      </c>
      <c r="B5" s="3">
        <v>590.6</v>
      </c>
    </row>
    <row r="6" spans="1:2" x14ac:dyDescent="0.35">
      <c r="A6" s="6" t="s">
        <v>81</v>
      </c>
      <c r="B6" s="3">
        <v>416.20000000000005</v>
      </c>
    </row>
    <row r="7" spans="1:2" x14ac:dyDescent="0.35">
      <c r="A7" s="6" t="s">
        <v>106</v>
      </c>
      <c r="B7" s="3">
        <v>1450.6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E3C1-32B9-40B9-BBF3-AC507C49B3B5}">
  <dimension ref="A3:B7"/>
  <sheetViews>
    <sheetView workbookViewId="0">
      <selection activeCell="L27" sqref="L27"/>
    </sheetView>
  </sheetViews>
  <sheetFormatPr defaultRowHeight="14.5" x14ac:dyDescent="0.35"/>
  <cols>
    <col min="1" max="1" width="12.453125" bestFit="1" customWidth="1"/>
    <col min="2" max="2" width="19.1796875" bestFit="1" customWidth="1"/>
  </cols>
  <sheetData>
    <row r="3" spans="1:2" x14ac:dyDescent="0.35">
      <c r="A3" s="5" t="s">
        <v>105</v>
      </c>
      <c r="B3" t="s">
        <v>111</v>
      </c>
    </row>
    <row r="4" spans="1:2" x14ac:dyDescent="0.35">
      <c r="A4" s="6" t="s">
        <v>9</v>
      </c>
      <c r="B4" s="3">
        <v>36.983333333333341</v>
      </c>
    </row>
    <row r="5" spans="1:2" x14ac:dyDescent="0.35">
      <c r="A5" s="6" t="s">
        <v>19</v>
      </c>
      <c r="B5" s="3">
        <v>83.240000000000009</v>
      </c>
    </row>
    <row r="6" spans="1:2" x14ac:dyDescent="0.35">
      <c r="A6" s="6" t="s">
        <v>21</v>
      </c>
      <c r="B6" s="3">
        <v>196.86666666666667</v>
      </c>
    </row>
    <row r="7" spans="1:2" x14ac:dyDescent="0.35">
      <c r="A7" s="6" t="s">
        <v>106</v>
      </c>
      <c r="B7" s="3">
        <v>317.09000000000003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F1FD-2918-46FF-B85D-94119ED9F42C}">
  <dimension ref="A1:J51"/>
  <sheetViews>
    <sheetView workbookViewId="0"/>
  </sheetViews>
  <sheetFormatPr defaultRowHeight="14.5" x14ac:dyDescent="0.35"/>
  <cols>
    <col min="1" max="1" width="10.08984375" customWidth="1"/>
    <col min="2" max="2" width="12.1796875" customWidth="1"/>
    <col min="3" max="3" width="9.54296875" customWidth="1"/>
    <col min="4" max="4" width="16.54296875" customWidth="1"/>
    <col min="5" max="5" width="13.36328125" customWidth="1"/>
    <col min="6" max="6" width="12.26953125" customWidth="1"/>
    <col min="7" max="7" width="14.54296875" customWidth="1"/>
    <col min="8" max="8" width="15.08984375" customWidth="1"/>
    <col min="9" max="9" width="12.7265625" customWidth="1"/>
    <col min="10" max="10" width="13.1796875" customWidth="1"/>
    <col min="11" max="11" width="12.08984375" customWidth="1"/>
    <col min="12" max="12" width="12.54296875" customWidth="1"/>
  </cols>
  <sheetData>
    <row r="1" spans="1:10" x14ac:dyDescent="0.35">
      <c r="A1" s="1" t="s">
        <v>0</v>
      </c>
      <c r="B1" s="1" t="s">
        <v>1</v>
      </c>
      <c r="C1" s="1" t="s">
        <v>2</v>
      </c>
      <c r="D1" s="1" t="s">
        <v>4</v>
      </c>
      <c r="E1" s="1" t="s">
        <v>3</v>
      </c>
      <c r="F1" s="1" t="s">
        <v>100</v>
      </c>
      <c r="G1" s="1" t="s">
        <v>102</v>
      </c>
      <c r="H1" s="1" t="s">
        <v>101</v>
      </c>
      <c r="I1" s="1" t="s">
        <v>103</v>
      </c>
      <c r="J1" s="1" t="s">
        <v>104</v>
      </c>
    </row>
    <row r="2" spans="1:10" x14ac:dyDescent="0.35">
      <c r="A2" t="s">
        <v>5</v>
      </c>
      <c r="B2" s="2">
        <v>46068</v>
      </c>
      <c r="C2" t="s">
        <v>6</v>
      </c>
      <c r="D2" t="s">
        <v>19</v>
      </c>
      <c r="E2">
        <v>2</v>
      </c>
      <c r="F2" s="3">
        <f>_xlfn.XLOOKUP(C2, Products!$A$2:$A$11, Products!$G$2:$G$11)</f>
        <v>22.5</v>
      </c>
      <c r="G2">
        <f>_xlfn.XLOOKUP(C2, Products!$A$2:$A$11, Products!$F$2:$F$11)</f>
        <v>13.5</v>
      </c>
      <c r="H2" s="3">
        <f t="shared" ref="H2:H33" si="0">E2*F2</f>
        <v>45</v>
      </c>
      <c r="I2" s="3">
        <f t="shared" ref="I2:I33" si="1">E2*G2</f>
        <v>27</v>
      </c>
      <c r="J2" s="3">
        <f t="shared" ref="J2:J33" si="2">(F2 - G2) * E2</f>
        <v>18</v>
      </c>
    </row>
    <row r="3" spans="1:10" x14ac:dyDescent="0.35">
      <c r="A3" t="s">
        <v>7</v>
      </c>
      <c r="B3" s="2">
        <v>46068</v>
      </c>
      <c r="C3" t="s">
        <v>8</v>
      </c>
      <c r="D3" t="s">
        <v>9</v>
      </c>
      <c r="E3">
        <v>5</v>
      </c>
      <c r="F3" s="3">
        <f>_xlfn.XLOOKUP(C3, Products!$A$2:$A$11, Products!$G$2:$G$11)</f>
        <v>15</v>
      </c>
      <c r="G3">
        <f>_xlfn.XLOOKUP(C3, Products!$A$2:$A$11, Products!$F$2:$F$11)</f>
        <v>9</v>
      </c>
      <c r="H3" s="3">
        <f t="shared" si="0"/>
        <v>75</v>
      </c>
      <c r="I3" s="3">
        <f t="shared" si="1"/>
        <v>45</v>
      </c>
      <c r="J3" s="3">
        <f t="shared" si="2"/>
        <v>30</v>
      </c>
    </row>
    <row r="4" spans="1:10" x14ac:dyDescent="0.35">
      <c r="A4" t="s">
        <v>10</v>
      </c>
      <c r="B4" s="2">
        <v>46068</v>
      </c>
      <c r="C4" t="s">
        <v>85</v>
      </c>
      <c r="D4" t="s">
        <v>19</v>
      </c>
      <c r="E4">
        <v>2</v>
      </c>
      <c r="F4" s="3">
        <f>_xlfn.XLOOKUP(C4, Products!$A$2:$A$11, Products!$G$2:$G$11)</f>
        <v>14.5</v>
      </c>
      <c r="G4">
        <f>_xlfn.XLOOKUP(C4, Products!$A$2:$A$11, Products!$F$2:$F$11)</f>
        <v>8.6999999999999993</v>
      </c>
      <c r="H4" s="3">
        <f t="shared" si="0"/>
        <v>29</v>
      </c>
      <c r="I4" s="3">
        <f t="shared" si="1"/>
        <v>17.399999999999999</v>
      </c>
      <c r="J4" s="3">
        <f t="shared" si="2"/>
        <v>11.600000000000001</v>
      </c>
    </row>
    <row r="5" spans="1:10" x14ac:dyDescent="0.35">
      <c r="A5" t="s">
        <v>11</v>
      </c>
      <c r="B5" s="2">
        <v>46069</v>
      </c>
      <c r="C5" t="s">
        <v>88</v>
      </c>
      <c r="D5" t="s">
        <v>21</v>
      </c>
      <c r="E5">
        <v>3</v>
      </c>
      <c r="F5" s="3">
        <f>_xlfn.XLOOKUP(C5, Products!$A$2:$A$11, Products!$G$2:$G$11)</f>
        <v>20</v>
      </c>
      <c r="G5">
        <f>_xlfn.XLOOKUP(C5, Products!$A$2:$A$11, Products!$F$2:$F$11)</f>
        <v>12</v>
      </c>
      <c r="H5" s="3">
        <f t="shared" si="0"/>
        <v>60</v>
      </c>
      <c r="I5" s="3">
        <f t="shared" si="1"/>
        <v>36</v>
      </c>
      <c r="J5" s="3">
        <f t="shared" si="2"/>
        <v>24</v>
      </c>
    </row>
    <row r="6" spans="1:10" x14ac:dyDescent="0.35">
      <c r="A6" t="s">
        <v>12</v>
      </c>
      <c r="B6" s="2">
        <v>46070</v>
      </c>
      <c r="C6" t="s">
        <v>13</v>
      </c>
      <c r="D6" t="s">
        <v>9</v>
      </c>
      <c r="E6">
        <v>10</v>
      </c>
      <c r="F6" s="3">
        <f>_xlfn.XLOOKUP(C6, Products!$A$2:$A$11, Products!$G$2:$G$11)</f>
        <v>10</v>
      </c>
      <c r="G6">
        <f>_xlfn.XLOOKUP(C6, Products!$A$2:$A$11, Products!$F$2:$F$11)</f>
        <v>6</v>
      </c>
      <c r="H6" s="3">
        <f t="shared" si="0"/>
        <v>100</v>
      </c>
      <c r="I6" s="3">
        <f t="shared" si="1"/>
        <v>60</v>
      </c>
      <c r="J6" s="3">
        <f t="shared" si="2"/>
        <v>40</v>
      </c>
    </row>
    <row r="7" spans="1:10" x14ac:dyDescent="0.35">
      <c r="A7" t="s">
        <v>14</v>
      </c>
      <c r="B7" s="2">
        <v>46070</v>
      </c>
      <c r="C7" t="s">
        <v>15</v>
      </c>
      <c r="D7" t="s">
        <v>19</v>
      </c>
      <c r="E7">
        <v>2</v>
      </c>
      <c r="F7" s="3">
        <f>_xlfn.XLOOKUP(C7, Products!$A$2:$A$11, Products!$G$2:$G$11)</f>
        <v>12</v>
      </c>
      <c r="G7">
        <f>_xlfn.XLOOKUP(C7, Products!$A$2:$A$11, Products!$F$2:$F$11)</f>
        <v>7.1999999999999993</v>
      </c>
      <c r="H7" s="3">
        <f t="shared" si="0"/>
        <v>24</v>
      </c>
      <c r="I7" s="3">
        <f t="shared" si="1"/>
        <v>14.399999999999999</v>
      </c>
      <c r="J7" s="3">
        <f t="shared" si="2"/>
        <v>9.6000000000000014</v>
      </c>
    </row>
    <row r="8" spans="1:10" x14ac:dyDescent="0.35">
      <c r="A8" t="s">
        <v>16</v>
      </c>
      <c r="B8" s="2">
        <v>46071</v>
      </c>
      <c r="C8" t="s">
        <v>17</v>
      </c>
      <c r="D8" t="s">
        <v>9</v>
      </c>
      <c r="E8">
        <v>1</v>
      </c>
      <c r="F8" s="3">
        <f>_xlfn.XLOOKUP(C8, Products!$A$2:$A$11, Products!$G$2:$G$11)</f>
        <v>18</v>
      </c>
      <c r="G8">
        <f>_xlfn.XLOOKUP(C8, Products!$A$2:$A$11, Products!$F$2:$F$11)</f>
        <v>10.799999999999999</v>
      </c>
      <c r="H8" s="3">
        <f t="shared" si="0"/>
        <v>18</v>
      </c>
      <c r="I8" s="3">
        <f t="shared" si="1"/>
        <v>10.799999999999999</v>
      </c>
      <c r="J8" s="3">
        <f t="shared" si="2"/>
        <v>7.2000000000000011</v>
      </c>
    </row>
    <row r="9" spans="1:10" x14ac:dyDescent="0.35">
      <c r="A9" t="s">
        <v>18</v>
      </c>
      <c r="B9" s="2">
        <v>46071</v>
      </c>
      <c r="C9" t="s">
        <v>91</v>
      </c>
      <c r="D9" t="s">
        <v>19</v>
      </c>
      <c r="E9">
        <v>4</v>
      </c>
      <c r="F9" s="3">
        <f>_xlfn.XLOOKUP(C9, Products!$A$2:$A$11, Products!$G$2:$G$11)</f>
        <v>25</v>
      </c>
      <c r="G9">
        <f>_xlfn.XLOOKUP(C9, Products!$A$2:$A$11, Products!$F$2:$F$11)</f>
        <v>15</v>
      </c>
      <c r="H9" s="3">
        <f t="shared" si="0"/>
        <v>100</v>
      </c>
      <c r="I9" s="3">
        <f t="shared" si="1"/>
        <v>60</v>
      </c>
      <c r="J9" s="3">
        <f t="shared" si="2"/>
        <v>40</v>
      </c>
    </row>
    <row r="10" spans="1:10" x14ac:dyDescent="0.35">
      <c r="A10" t="s">
        <v>20</v>
      </c>
      <c r="B10" s="2">
        <v>46072</v>
      </c>
      <c r="C10" t="s">
        <v>94</v>
      </c>
      <c r="D10" t="s">
        <v>21</v>
      </c>
      <c r="E10">
        <v>2</v>
      </c>
      <c r="F10" s="3">
        <f>_xlfn.XLOOKUP(C10, Products!$A$2:$A$11, Products!$G$2:$G$11)</f>
        <v>11</v>
      </c>
      <c r="G10">
        <f>_xlfn.XLOOKUP(C10, Products!$A$2:$A$11, Products!$F$2:$F$11)</f>
        <v>6.6</v>
      </c>
      <c r="H10" s="3">
        <f t="shared" si="0"/>
        <v>22</v>
      </c>
      <c r="I10" s="3">
        <f t="shared" si="1"/>
        <v>13.2</v>
      </c>
      <c r="J10" s="3">
        <f t="shared" si="2"/>
        <v>8.8000000000000007</v>
      </c>
    </row>
    <row r="11" spans="1:10" x14ac:dyDescent="0.35">
      <c r="A11" t="s">
        <v>22</v>
      </c>
      <c r="B11" s="2">
        <v>46072</v>
      </c>
      <c r="C11" t="s">
        <v>97</v>
      </c>
      <c r="D11" t="s">
        <v>9</v>
      </c>
      <c r="E11">
        <v>6</v>
      </c>
      <c r="F11" s="3">
        <f>_xlfn.XLOOKUP(C11, Products!$A$2:$A$11, Products!$G$2:$G$11)</f>
        <v>16</v>
      </c>
      <c r="G11">
        <f>_xlfn.XLOOKUP(C11, Products!$A$2:$A$11, Products!$F$2:$F$11)</f>
        <v>9.6</v>
      </c>
      <c r="H11" s="3">
        <f t="shared" si="0"/>
        <v>96</v>
      </c>
      <c r="I11" s="3">
        <f t="shared" si="1"/>
        <v>57.599999999999994</v>
      </c>
      <c r="J11" s="3">
        <f t="shared" si="2"/>
        <v>38.400000000000006</v>
      </c>
    </row>
    <row r="12" spans="1:10" x14ac:dyDescent="0.35">
      <c r="A12" t="s">
        <v>23</v>
      </c>
      <c r="B12" s="2">
        <v>46073</v>
      </c>
      <c r="C12" t="s">
        <v>6</v>
      </c>
      <c r="D12" t="s">
        <v>19</v>
      </c>
      <c r="E12">
        <v>1</v>
      </c>
      <c r="F12" s="3">
        <f>_xlfn.XLOOKUP(C12, Products!$A$2:$A$11, Products!$G$2:$G$11)</f>
        <v>22.5</v>
      </c>
      <c r="G12">
        <f>_xlfn.XLOOKUP(C12, Products!$A$2:$A$11, Products!$F$2:$F$11)</f>
        <v>13.5</v>
      </c>
      <c r="H12" s="3">
        <f t="shared" si="0"/>
        <v>22.5</v>
      </c>
      <c r="I12" s="3">
        <f t="shared" si="1"/>
        <v>13.5</v>
      </c>
      <c r="J12" s="3">
        <f t="shared" si="2"/>
        <v>9</v>
      </c>
    </row>
    <row r="13" spans="1:10" x14ac:dyDescent="0.35">
      <c r="A13" t="s">
        <v>24</v>
      </c>
      <c r="B13" s="2">
        <v>46073</v>
      </c>
      <c r="C13" t="s">
        <v>17</v>
      </c>
      <c r="D13" t="s">
        <v>21</v>
      </c>
      <c r="E13">
        <v>8</v>
      </c>
      <c r="F13" s="3">
        <f>_xlfn.XLOOKUP(C13, Products!$A$2:$A$11, Products!$G$2:$G$11)</f>
        <v>18</v>
      </c>
      <c r="G13">
        <f>_xlfn.XLOOKUP(C13, Products!$A$2:$A$11, Products!$F$2:$F$11)</f>
        <v>10.799999999999999</v>
      </c>
      <c r="H13" s="3">
        <f t="shared" si="0"/>
        <v>144</v>
      </c>
      <c r="I13" s="3">
        <f t="shared" si="1"/>
        <v>86.399999999999991</v>
      </c>
      <c r="J13" s="3">
        <f t="shared" si="2"/>
        <v>57.600000000000009</v>
      </c>
    </row>
    <row r="14" spans="1:10" x14ac:dyDescent="0.35">
      <c r="A14" t="s">
        <v>25</v>
      </c>
      <c r="B14" s="2">
        <v>46074</v>
      </c>
      <c r="C14" t="s">
        <v>15</v>
      </c>
      <c r="D14" t="s">
        <v>19</v>
      </c>
      <c r="E14">
        <v>3</v>
      </c>
      <c r="F14" s="3">
        <f>_xlfn.XLOOKUP(C14, Products!$A$2:$A$11, Products!$G$2:$G$11)</f>
        <v>12</v>
      </c>
      <c r="G14">
        <f>_xlfn.XLOOKUP(C14, Products!$A$2:$A$11, Products!$F$2:$F$11)</f>
        <v>7.1999999999999993</v>
      </c>
      <c r="H14" s="3">
        <f t="shared" si="0"/>
        <v>36</v>
      </c>
      <c r="I14" s="3">
        <f t="shared" si="1"/>
        <v>21.599999999999998</v>
      </c>
      <c r="J14" s="3">
        <f t="shared" si="2"/>
        <v>14.400000000000002</v>
      </c>
    </row>
    <row r="15" spans="1:10" x14ac:dyDescent="0.35">
      <c r="A15" t="s">
        <v>26</v>
      </c>
      <c r="B15" s="2">
        <v>46074</v>
      </c>
      <c r="C15" t="s">
        <v>8</v>
      </c>
      <c r="D15" t="s">
        <v>9</v>
      </c>
      <c r="E15">
        <v>5</v>
      </c>
      <c r="F15" s="3">
        <f>_xlfn.XLOOKUP(C15, Products!$A$2:$A$11, Products!$G$2:$G$11)</f>
        <v>15</v>
      </c>
      <c r="G15">
        <f>_xlfn.XLOOKUP(C15, Products!$A$2:$A$11, Products!$F$2:$F$11)</f>
        <v>9</v>
      </c>
      <c r="H15" s="3">
        <f t="shared" si="0"/>
        <v>75</v>
      </c>
      <c r="I15" s="3">
        <f t="shared" si="1"/>
        <v>45</v>
      </c>
      <c r="J15" s="3">
        <f t="shared" si="2"/>
        <v>30</v>
      </c>
    </row>
    <row r="16" spans="1:10" x14ac:dyDescent="0.35">
      <c r="A16" t="s">
        <v>27</v>
      </c>
      <c r="B16" s="2">
        <v>46075</v>
      </c>
      <c r="C16" t="s">
        <v>85</v>
      </c>
      <c r="D16" t="s">
        <v>19</v>
      </c>
      <c r="E16">
        <v>2</v>
      </c>
      <c r="F16" s="3">
        <f>_xlfn.XLOOKUP(C16, Products!$A$2:$A$11, Products!$G$2:$G$11)</f>
        <v>14.5</v>
      </c>
      <c r="G16">
        <f>_xlfn.XLOOKUP(C16, Products!$A$2:$A$11, Products!$F$2:$F$11)</f>
        <v>8.6999999999999993</v>
      </c>
      <c r="H16" s="3">
        <f t="shared" si="0"/>
        <v>29</v>
      </c>
      <c r="I16" s="3">
        <f t="shared" si="1"/>
        <v>17.399999999999999</v>
      </c>
      <c r="J16" s="3">
        <f t="shared" si="2"/>
        <v>11.600000000000001</v>
      </c>
    </row>
    <row r="17" spans="1:10" x14ac:dyDescent="0.35">
      <c r="A17" t="s">
        <v>28</v>
      </c>
      <c r="B17" s="2">
        <v>46075</v>
      </c>
      <c r="C17" t="s">
        <v>88</v>
      </c>
      <c r="D17" t="s">
        <v>21</v>
      </c>
      <c r="E17">
        <v>12</v>
      </c>
      <c r="F17" s="3">
        <f>_xlfn.XLOOKUP(C17, Products!$A$2:$A$11, Products!$G$2:$G$11)</f>
        <v>20</v>
      </c>
      <c r="G17">
        <f>_xlfn.XLOOKUP(C17, Products!$A$2:$A$11, Products!$F$2:$F$11)</f>
        <v>12</v>
      </c>
      <c r="H17" s="3">
        <f t="shared" si="0"/>
        <v>240</v>
      </c>
      <c r="I17" s="3">
        <f t="shared" si="1"/>
        <v>144</v>
      </c>
      <c r="J17" s="3">
        <f t="shared" si="2"/>
        <v>96</v>
      </c>
    </row>
    <row r="18" spans="1:10" x14ac:dyDescent="0.35">
      <c r="A18" t="s">
        <v>29</v>
      </c>
      <c r="B18" s="2">
        <v>46076</v>
      </c>
      <c r="C18" t="s">
        <v>91</v>
      </c>
      <c r="D18" t="s">
        <v>9</v>
      </c>
      <c r="E18">
        <v>4</v>
      </c>
      <c r="F18" s="3">
        <f>_xlfn.XLOOKUP(C18, Products!$A$2:$A$11, Products!$G$2:$G$11)</f>
        <v>25</v>
      </c>
      <c r="G18">
        <f>_xlfn.XLOOKUP(C18, Products!$A$2:$A$11, Products!$F$2:$F$11)</f>
        <v>15</v>
      </c>
      <c r="H18" s="3">
        <f t="shared" si="0"/>
        <v>100</v>
      </c>
      <c r="I18" s="3">
        <f t="shared" si="1"/>
        <v>60</v>
      </c>
      <c r="J18" s="3">
        <f t="shared" si="2"/>
        <v>40</v>
      </c>
    </row>
    <row r="19" spans="1:10" x14ac:dyDescent="0.35">
      <c r="A19" t="s">
        <v>30</v>
      </c>
      <c r="B19" s="2">
        <v>46076</v>
      </c>
      <c r="C19" t="s">
        <v>94</v>
      </c>
      <c r="D19" t="s">
        <v>19</v>
      </c>
      <c r="E19">
        <v>1</v>
      </c>
      <c r="F19" s="3">
        <f>_xlfn.XLOOKUP(C19, Products!$A$2:$A$11, Products!$G$2:$G$11)</f>
        <v>11</v>
      </c>
      <c r="G19">
        <f>_xlfn.XLOOKUP(C19, Products!$A$2:$A$11, Products!$F$2:$F$11)</f>
        <v>6.6</v>
      </c>
      <c r="H19" s="3">
        <f t="shared" si="0"/>
        <v>11</v>
      </c>
      <c r="I19" s="3">
        <f t="shared" si="1"/>
        <v>6.6</v>
      </c>
      <c r="J19" s="3">
        <f t="shared" si="2"/>
        <v>4.4000000000000004</v>
      </c>
    </row>
    <row r="20" spans="1:10" x14ac:dyDescent="0.35">
      <c r="A20" t="s">
        <v>31</v>
      </c>
      <c r="B20" s="2">
        <v>46077</v>
      </c>
      <c r="C20" t="s">
        <v>97</v>
      </c>
      <c r="D20" t="s">
        <v>21</v>
      </c>
      <c r="E20">
        <v>7</v>
      </c>
      <c r="F20" s="3">
        <f>_xlfn.XLOOKUP(C20, Products!$A$2:$A$11, Products!$G$2:$G$11)</f>
        <v>16</v>
      </c>
      <c r="G20">
        <f>_xlfn.XLOOKUP(C20, Products!$A$2:$A$11, Products!$F$2:$F$11)</f>
        <v>9.6</v>
      </c>
      <c r="H20" s="3">
        <f t="shared" si="0"/>
        <v>112</v>
      </c>
      <c r="I20" s="3">
        <f t="shared" si="1"/>
        <v>67.2</v>
      </c>
      <c r="J20" s="3">
        <f t="shared" si="2"/>
        <v>44.800000000000004</v>
      </c>
    </row>
    <row r="21" spans="1:10" x14ac:dyDescent="0.35">
      <c r="A21" t="s">
        <v>32</v>
      </c>
      <c r="B21" s="2">
        <v>46077</v>
      </c>
      <c r="C21" t="s">
        <v>6</v>
      </c>
      <c r="D21" t="s">
        <v>9</v>
      </c>
      <c r="E21">
        <v>3</v>
      </c>
      <c r="F21" s="3">
        <f>_xlfn.XLOOKUP(C21, Products!$A$2:$A$11, Products!$G$2:$G$11)</f>
        <v>22.5</v>
      </c>
      <c r="G21">
        <f>_xlfn.XLOOKUP(C21, Products!$A$2:$A$11, Products!$F$2:$F$11)</f>
        <v>13.5</v>
      </c>
      <c r="H21" s="3">
        <f t="shared" si="0"/>
        <v>67.5</v>
      </c>
      <c r="I21" s="3">
        <f t="shared" si="1"/>
        <v>40.5</v>
      </c>
      <c r="J21" s="3">
        <f t="shared" si="2"/>
        <v>27</v>
      </c>
    </row>
    <row r="22" spans="1:10" x14ac:dyDescent="0.35">
      <c r="A22" t="s">
        <v>33</v>
      </c>
      <c r="B22" s="2">
        <v>46078</v>
      </c>
      <c r="C22" t="s">
        <v>13</v>
      </c>
      <c r="D22" t="s">
        <v>19</v>
      </c>
      <c r="E22">
        <v>5</v>
      </c>
      <c r="F22" s="3">
        <f>_xlfn.XLOOKUP(C22, Products!$A$2:$A$11, Products!$G$2:$G$11)</f>
        <v>10</v>
      </c>
      <c r="G22">
        <f>_xlfn.XLOOKUP(C22, Products!$A$2:$A$11, Products!$F$2:$F$11)</f>
        <v>6</v>
      </c>
      <c r="H22" s="3">
        <f t="shared" si="0"/>
        <v>50</v>
      </c>
      <c r="I22" s="3">
        <f t="shared" si="1"/>
        <v>30</v>
      </c>
      <c r="J22" s="3">
        <f t="shared" si="2"/>
        <v>20</v>
      </c>
    </row>
    <row r="23" spans="1:10" x14ac:dyDescent="0.35">
      <c r="A23" t="s">
        <v>34</v>
      </c>
      <c r="B23" s="2">
        <v>46078</v>
      </c>
      <c r="C23" t="s">
        <v>17</v>
      </c>
      <c r="D23" t="s">
        <v>9</v>
      </c>
      <c r="E23">
        <v>2</v>
      </c>
      <c r="F23" s="3">
        <f>_xlfn.XLOOKUP(C23, Products!$A$2:$A$11, Products!$G$2:$G$11)</f>
        <v>18</v>
      </c>
      <c r="G23">
        <f>_xlfn.XLOOKUP(C23, Products!$A$2:$A$11, Products!$F$2:$F$11)</f>
        <v>10.799999999999999</v>
      </c>
      <c r="H23" s="3">
        <f t="shared" si="0"/>
        <v>36</v>
      </c>
      <c r="I23" s="3">
        <f t="shared" si="1"/>
        <v>21.599999999999998</v>
      </c>
      <c r="J23" s="3">
        <f t="shared" si="2"/>
        <v>14.400000000000002</v>
      </c>
    </row>
    <row r="24" spans="1:10" x14ac:dyDescent="0.35">
      <c r="A24" t="s">
        <v>35</v>
      </c>
      <c r="B24" s="2">
        <v>46079</v>
      </c>
      <c r="C24" t="s">
        <v>15</v>
      </c>
      <c r="D24" t="s">
        <v>21</v>
      </c>
      <c r="E24">
        <v>9</v>
      </c>
      <c r="F24" s="3">
        <f>_xlfn.XLOOKUP(C24, Products!$A$2:$A$11, Products!$G$2:$G$11)</f>
        <v>12</v>
      </c>
      <c r="G24">
        <f>_xlfn.XLOOKUP(C24, Products!$A$2:$A$11, Products!$F$2:$F$11)</f>
        <v>7.1999999999999993</v>
      </c>
      <c r="H24" s="3">
        <f t="shared" si="0"/>
        <v>108</v>
      </c>
      <c r="I24" s="3">
        <f t="shared" si="1"/>
        <v>64.8</v>
      </c>
      <c r="J24" s="3">
        <f t="shared" si="2"/>
        <v>43.2</v>
      </c>
    </row>
    <row r="25" spans="1:10" x14ac:dyDescent="0.35">
      <c r="A25" t="s">
        <v>36</v>
      </c>
      <c r="B25" s="2">
        <v>46079</v>
      </c>
      <c r="C25" t="s">
        <v>8</v>
      </c>
      <c r="D25" t="s">
        <v>19</v>
      </c>
      <c r="E25">
        <v>4</v>
      </c>
      <c r="F25" s="3">
        <f>_xlfn.XLOOKUP(C25, Products!$A$2:$A$11, Products!$G$2:$G$11)</f>
        <v>15</v>
      </c>
      <c r="G25">
        <f>_xlfn.XLOOKUP(C25, Products!$A$2:$A$11, Products!$F$2:$F$11)</f>
        <v>9</v>
      </c>
      <c r="H25" s="3">
        <f t="shared" si="0"/>
        <v>60</v>
      </c>
      <c r="I25" s="3">
        <f t="shared" si="1"/>
        <v>36</v>
      </c>
      <c r="J25" s="3">
        <f t="shared" si="2"/>
        <v>24</v>
      </c>
    </row>
    <row r="26" spans="1:10" x14ac:dyDescent="0.35">
      <c r="A26" t="s">
        <v>37</v>
      </c>
      <c r="B26" s="2">
        <v>46080</v>
      </c>
      <c r="C26" t="s">
        <v>85</v>
      </c>
      <c r="D26" t="s">
        <v>9</v>
      </c>
      <c r="E26">
        <v>2</v>
      </c>
      <c r="F26" s="3">
        <f>_xlfn.XLOOKUP(C26, Products!$A$2:$A$11, Products!$G$2:$G$11)</f>
        <v>14.5</v>
      </c>
      <c r="G26">
        <f>_xlfn.XLOOKUP(C26, Products!$A$2:$A$11, Products!$F$2:$F$11)</f>
        <v>8.6999999999999993</v>
      </c>
      <c r="H26" s="3">
        <f t="shared" si="0"/>
        <v>29</v>
      </c>
      <c r="I26" s="3">
        <f t="shared" si="1"/>
        <v>17.399999999999999</v>
      </c>
      <c r="J26" s="3">
        <f t="shared" si="2"/>
        <v>11.600000000000001</v>
      </c>
    </row>
    <row r="27" spans="1:10" x14ac:dyDescent="0.35">
      <c r="A27" t="s">
        <v>38</v>
      </c>
      <c r="B27" s="2">
        <v>46080</v>
      </c>
      <c r="C27" t="s">
        <v>88</v>
      </c>
      <c r="D27" t="s">
        <v>19</v>
      </c>
      <c r="E27">
        <v>1</v>
      </c>
      <c r="F27" s="3">
        <f>_xlfn.XLOOKUP(C27, Products!$A$2:$A$11, Products!$G$2:$G$11)</f>
        <v>20</v>
      </c>
      <c r="G27">
        <f>_xlfn.XLOOKUP(C27, Products!$A$2:$A$11, Products!$F$2:$F$11)</f>
        <v>12</v>
      </c>
      <c r="H27" s="3">
        <f t="shared" si="0"/>
        <v>20</v>
      </c>
      <c r="I27" s="3">
        <f t="shared" si="1"/>
        <v>12</v>
      </c>
      <c r="J27" s="3">
        <f t="shared" si="2"/>
        <v>8</v>
      </c>
    </row>
    <row r="28" spans="1:10" x14ac:dyDescent="0.35">
      <c r="A28" t="s">
        <v>39</v>
      </c>
      <c r="B28" s="2">
        <v>46081</v>
      </c>
      <c r="C28" t="s">
        <v>91</v>
      </c>
      <c r="D28" t="s">
        <v>21</v>
      </c>
      <c r="E28">
        <v>6</v>
      </c>
      <c r="F28" s="3">
        <f>_xlfn.XLOOKUP(C28, Products!$A$2:$A$11, Products!$G$2:$G$11)</f>
        <v>25</v>
      </c>
      <c r="G28">
        <f>_xlfn.XLOOKUP(C28, Products!$A$2:$A$11, Products!$F$2:$F$11)</f>
        <v>15</v>
      </c>
      <c r="H28" s="3">
        <f t="shared" si="0"/>
        <v>150</v>
      </c>
      <c r="I28" s="3">
        <f t="shared" si="1"/>
        <v>90</v>
      </c>
      <c r="J28" s="3">
        <f t="shared" si="2"/>
        <v>60</v>
      </c>
    </row>
    <row r="29" spans="1:10" x14ac:dyDescent="0.35">
      <c r="A29" t="s">
        <v>40</v>
      </c>
      <c r="B29" s="2">
        <v>46081</v>
      </c>
      <c r="C29" t="s">
        <v>94</v>
      </c>
      <c r="D29" t="s">
        <v>9</v>
      </c>
      <c r="E29">
        <v>3</v>
      </c>
      <c r="F29" s="3">
        <f>_xlfn.XLOOKUP(C29, Products!$A$2:$A$11, Products!$G$2:$G$11)</f>
        <v>11</v>
      </c>
      <c r="G29">
        <f>_xlfn.XLOOKUP(C29, Products!$A$2:$A$11, Products!$F$2:$F$11)</f>
        <v>6.6</v>
      </c>
      <c r="H29" s="3">
        <f t="shared" si="0"/>
        <v>33</v>
      </c>
      <c r="I29" s="3">
        <f t="shared" si="1"/>
        <v>19.799999999999997</v>
      </c>
      <c r="J29" s="3">
        <f t="shared" si="2"/>
        <v>13.200000000000001</v>
      </c>
    </row>
    <row r="30" spans="1:10" x14ac:dyDescent="0.35">
      <c r="A30" t="s">
        <v>41</v>
      </c>
      <c r="B30" s="2">
        <v>46082</v>
      </c>
      <c r="C30" t="s">
        <v>97</v>
      </c>
      <c r="D30" t="s">
        <v>19</v>
      </c>
      <c r="E30">
        <v>5</v>
      </c>
      <c r="F30" s="3">
        <f>_xlfn.XLOOKUP(C30, Products!$A$2:$A$11, Products!$G$2:$G$11)</f>
        <v>16</v>
      </c>
      <c r="G30">
        <f>_xlfn.XLOOKUP(C30, Products!$A$2:$A$11, Products!$F$2:$F$11)</f>
        <v>9.6</v>
      </c>
      <c r="H30" s="3">
        <f t="shared" si="0"/>
        <v>80</v>
      </c>
      <c r="I30" s="3">
        <f t="shared" si="1"/>
        <v>48</v>
      </c>
      <c r="J30" s="3">
        <f t="shared" si="2"/>
        <v>32</v>
      </c>
    </row>
    <row r="31" spans="1:10" x14ac:dyDescent="0.35">
      <c r="A31" t="s">
        <v>42</v>
      </c>
      <c r="B31" s="2">
        <v>46082</v>
      </c>
      <c r="C31" t="s">
        <v>6</v>
      </c>
      <c r="D31" t="s">
        <v>21</v>
      </c>
      <c r="E31">
        <v>10</v>
      </c>
      <c r="F31" s="3">
        <f>_xlfn.XLOOKUP(C31, Products!$A$2:$A$11, Products!$G$2:$G$11)</f>
        <v>22.5</v>
      </c>
      <c r="G31">
        <f>_xlfn.XLOOKUP(C31, Products!$A$2:$A$11, Products!$F$2:$F$11)</f>
        <v>13.5</v>
      </c>
      <c r="H31" s="3">
        <f t="shared" si="0"/>
        <v>225</v>
      </c>
      <c r="I31" s="3">
        <f t="shared" si="1"/>
        <v>135</v>
      </c>
      <c r="J31" s="3">
        <f t="shared" si="2"/>
        <v>90</v>
      </c>
    </row>
    <row r="32" spans="1:10" x14ac:dyDescent="0.35">
      <c r="A32" t="s">
        <v>43</v>
      </c>
      <c r="B32" s="2">
        <v>46083</v>
      </c>
      <c r="C32" t="s">
        <v>13</v>
      </c>
      <c r="D32" t="s">
        <v>9</v>
      </c>
      <c r="E32">
        <v>4</v>
      </c>
      <c r="F32" s="3">
        <f>_xlfn.XLOOKUP(C32, Products!$A$2:$A$11, Products!$G$2:$G$11)</f>
        <v>10</v>
      </c>
      <c r="G32">
        <f>_xlfn.XLOOKUP(C32, Products!$A$2:$A$11, Products!$F$2:$F$11)</f>
        <v>6</v>
      </c>
      <c r="H32" s="3">
        <f t="shared" si="0"/>
        <v>40</v>
      </c>
      <c r="I32" s="3">
        <f t="shared" si="1"/>
        <v>24</v>
      </c>
      <c r="J32" s="3">
        <f t="shared" si="2"/>
        <v>16</v>
      </c>
    </row>
    <row r="33" spans="1:10" x14ac:dyDescent="0.35">
      <c r="A33" t="s">
        <v>44</v>
      </c>
      <c r="B33" s="2">
        <v>46083</v>
      </c>
      <c r="C33" t="s">
        <v>17</v>
      </c>
      <c r="D33" t="s">
        <v>19</v>
      </c>
      <c r="E33">
        <v>2</v>
      </c>
      <c r="F33" s="3">
        <f>_xlfn.XLOOKUP(C33, Products!$A$2:$A$11, Products!$G$2:$G$11)</f>
        <v>18</v>
      </c>
      <c r="G33">
        <f>_xlfn.XLOOKUP(C33, Products!$A$2:$A$11, Products!$F$2:$F$11)</f>
        <v>10.799999999999999</v>
      </c>
      <c r="H33" s="3">
        <f t="shared" si="0"/>
        <v>36</v>
      </c>
      <c r="I33" s="3">
        <f t="shared" si="1"/>
        <v>21.599999999999998</v>
      </c>
      <c r="J33" s="3">
        <f t="shared" si="2"/>
        <v>14.400000000000002</v>
      </c>
    </row>
    <row r="34" spans="1:10" x14ac:dyDescent="0.35">
      <c r="A34" t="s">
        <v>45</v>
      </c>
      <c r="B34" s="2">
        <v>46084</v>
      </c>
      <c r="C34" t="s">
        <v>15</v>
      </c>
      <c r="D34" t="s">
        <v>21</v>
      </c>
      <c r="E34">
        <v>7</v>
      </c>
      <c r="F34" s="3">
        <f>_xlfn.XLOOKUP(C34, Products!$A$2:$A$11, Products!$G$2:$G$11)</f>
        <v>12</v>
      </c>
      <c r="G34">
        <f>_xlfn.XLOOKUP(C34, Products!$A$2:$A$11, Products!$F$2:$F$11)</f>
        <v>7.1999999999999993</v>
      </c>
      <c r="H34" s="3">
        <f t="shared" ref="H34:H51" si="3">E34*F34</f>
        <v>84</v>
      </c>
      <c r="I34" s="3">
        <f t="shared" ref="I34:I51" si="4">E34*G34</f>
        <v>50.399999999999991</v>
      </c>
      <c r="J34" s="3">
        <f t="shared" ref="J34:J51" si="5">(F34 - G34) * E34</f>
        <v>33.600000000000009</v>
      </c>
    </row>
    <row r="35" spans="1:10" x14ac:dyDescent="0.35">
      <c r="A35" t="s">
        <v>46</v>
      </c>
      <c r="B35" s="2">
        <v>46084</v>
      </c>
      <c r="C35" t="s">
        <v>8</v>
      </c>
      <c r="D35" t="s">
        <v>19</v>
      </c>
      <c r="E35">
        <v>3</v>
      </c>
      <c r="F35" s="3">
        <f>_xlfn.XLOOKUP(C35, Products!$A$2:$A$11, Products!$G$2:$G$11)</f>
        <v>15</v>
      </c>
      <c r="G35">
        <f>_xlfn.XLOOKUP(C35, Products!$A$2:$A$11, Products!$F$2:$F$11)</f>
        <v>9</v>
      </c>
      <c r="H35" s="3">
        <f t="shared" si="3"/>
        <v>45</v>
      </c>
      <c r="I35" s="3">
        <f t="shared" si="4"/>
        <v>27</v>
      </c>
      <c r="J35" s="3">
        <f t="shared" si="5"/>
        <v>18</v>
      </c>
    </row>
    <row r="36" spans="1:10" x14ac:dyDescent="0.35">
      <c r="A36" t="s">
        <v>47</v>
      </c>
      <c r="B36" s="2">
        <v>46085</v>
      </c>
      <c r="C36" t="s">
        <v>85</v>
      </c>
      <c r="D36" t="s">
        <v>9</v>
      </c>
      <c r="E36">
        <v>8</v>
      </c>
      <c r="F36" s="3">
        <f>_xlfn.XLOOKUP(C36, Products!$A$2:$A$11, Products!$G$2:$G$11)</f>
        <v>14.5</v>
      </c>
      <c r="G36">
        <f>_xlfn.XLOOKUP(C36, Products!$A$2:$A$11, Products!$F$2:$F$11)</f>
        <v>8.6999999999999993</v>
      </c>
      <c r="H36" s="3">
        <f t="shared" si="3"/>
        <v>116</v>
      </c>
      <c r="I36" s="3">
        <f t="shared" si="4"/>
        <v>69.599999999999994</v>
      </c>
      <c r="J36" s="3">
        <f t="shared" si="5"/>
        <v>46.400000000000006</v>
      </c>
    </row>
    <row r="37" spans="1:10" x14ac:dyDescent="0.35">
      <c r="A37" t="s">
        <v>48</v>
      </c>
      <c r="B37" s="2">
        <v>46085</v>
      </c>
      <c r="C37" t="s">
        <v>88</v>
      </c>
      <c r="D37" t="s">
        <v>19</v>
      </c>
      <c r="E37">
        <v>2</v>
      </c>
      <c r="F37" s="3">
        <f>_xlfn.XLOOKUP(C37, Products!$A$2:$A$11, Products!$G$2:$G$11)</f>
        <v>20</v>
      </c>
      <c r="G37">
        <f>_xlfn.XLOOKUP(C37, Products!$A$2:$A$11, Products!$F$2:$F$11)</f>
        <v>12</v>
      </c>
      <c r="H37" s="3">
        <f t="shared" si="3"/>
        <v>40</v>
      </c>
      <c r="I37" s="3">
        <f t="shared" si="4"/>
        <v>24</v>
      </c>
      <c r="J37" s="3">
        <f t="shared" si="5"/>
        <v>16</v>
      </c>
    </row>
    <row r="38" spans="1:10" x14ac:dyDescent="0.35">
      <c r="A38" t="s">
        <v>49</v>
      </c>
      <c r="B38" s="2">
        <v>46086</v>
      </c>
      <c r="C38" t="s">
        <v>91</v>
      </c>
      <c r="D38" t="s">
        <v>21</v>
      </c>
      <c r="E38">
        <v>5</v>
      </c>
      <c r="F38" s="3">
        <f>_xlfn.XLOOKUP(C38, Products!$A$2:$A$11, Products!$G$2:$G$11)</f>
        <v>25</v>
      </c>
      <c r="G38">
        <f>_xlfn.XLOOKUP(C38, Products!$A$2:$A$11, Products!$F$2:$F$11)</f>
        <v>15</v>
      </c>
      <c r="H38" s="3">
        <f t="shared" si="3"/>
        <v>125</v>
      </c>
      <c r="I38" s="3">
        <f t="shared" si="4"/>
        <v>75</v>
      </c>
      <c r="J38" s="3">
        <f t="shared" si="5"/>
        <v>50</v>
      </c>
    </row>
    <row r="39" spans="1:10" x14ac:dyDescent="0.35">
      <c r="A39" t="s">
        <v>50</v>
      </c>
      <c r="B39" s="2">
        <v>46086</v>
      </c>
      <c r="C39" t="s">
        <v>94</v>
      </c>
      <c r="D39" t="s">
        <v>9</v>
      </c>
      <c r="E39">
        <v>4</v>
      </c>
      <c r="F39" s="3">
        <f>_xlfn.XLOOKUP(C39, Products!$A$2:$A$11, Products!$G$2:$G$11)</f>
        <v>11</v>
      </c>
      <c r="G39">
        <f>_xlfn.XLOOKUP(C39, Products!$A$2:$A$11, Products!$F$2:$F$11)</f>
        <v>6.6</v>
      </c>
      <c r="H39" s="3">
        <f t="shared" si="3"/>
        <v>44</v>
      </c>
      <c r="I39" s="3">
        <f t="shared" si="4"/>
        <v>26.4</v>
      </c>
      <c r="J39" s="3">
        <f t="shared" si="5"/>
        <v>17.600000000000001</v>
      </c>
    </row>
    <row r="40" spans="1:10" x14ac:dyDescent="0.35">
      <c r="A40" t="s">
        <v>51</v>
      </c>
      <c r="B40" s="2">
        <v>46087</v>
      </c>
      <c r="C40" t="s">
        <v>97</v>
      </c>
      <c r="D40" t="s">
        <v>19</v>
      </c>
      <c r="E40">
        <v>6</v>
      </c>
      <c r="F40" s="3">
        <f>_xlfn.XLOOKUP(C40, Products!$A$2:$A$11, Products!$G$2:$G$11)</f>
        <v>16</v>
      </c>
      <c r="G40">
        <f>_xlfn.XLOOKUP(C40, Products!$A$2:$A$11, Products!$F$2:$F$11)</f>
        <v>9.6</v>
      </c>
      <c r="H40" s="3">
        <f t="shared" si="3"/>
        <v>96</v>
      </c>
      <c r="I40" s="3">
        <f t="shared" si="4"/>
        <v>57.599999999999994</v>
      </c>
      <c r="J40" s="3">
        <f t="shared" si="5"/>
        <v>38.400000000000006</v>
      </c>
    </row>
    <row r="41" spans="1:10" x14ac:dyDescent="0.35">
      <c r="A41" t="s">
        <v>52</v>
      </c>
      <c r="B41" s="2">
        <v>46087</v>
      </c>
      <c r="C41" t="s">
        <v>6</v>
      </c>
      <c r="D41" t="s">
        <v>21</v>
      </c>
      <c r="E41">
        <v>1</v>
      </c>
      <c r="F41" s="3">
        <f>_xlfn.XLOOKUP(C41, Products!$A$2:$A$11, Products!$G$2:$G$11)</f>
        <v>22.5</v>
      </c>
      <c r="G41">
        <f>_xlfn.XLOOKUP(C41, Products!$A$2:$A$11, Products!$F$2:$F$11)</f>
        <v>13.5</v>
      </c>
      <c r="H41" s="3">
        <f t="shared" si="3"/>
        <v>22.5</v>
      </c>
      <c r="I41" s="3">
        <f t="shared" si="4"/>
        <v>13.5</v>
      </c>
      <c r="J41" s="3">
        <f t="shared" si="5"/>
        <v>9</v>
      </c>
    </row>
    <row r="42" spans="1:10" x14ac:dyDescent="0.35">
      <c r="A42" t="s">
        <v>53</v>
      </c>
      <c r="B42" s="2">
        <v>46088</v>
      </c>
      <c r="C42" t="s">
        <v>13</v>
      </c>
      <c r="D42" t="s">
        <v>9</v>
      </c>
      <c r="E42">
        <v>9</v>
      </c>
      <c r="F42" s="3">
        <f>_xlfn.XLOOKUP(C42, Products!$A$2:$A$11, Products!$G$2:$G$11)</f>
        <v>10</v>
      </c>
      <c r="G42">
        <f>_xlfn.XLOOKUP(C42, Products!$A$2:$A$11, Products!$F$2:$F$11)</f>
        <v>6</v>
      </c>
      <c r="H42" s="3">
        <f t="shared" si="3"/>
        <v>90</v>
      </c>
      <c r="I42" s="3">
        <f t="shared" si="4"/>
        <v>54</v>
      </c>
      <c r="J42" s="3">
        <f t="shared" si="5"/>
        <v>36</v>
      </c>
    </row>
    <row r="43" spans="1:10" x14ac:dyDescent="0.35">
      <c r="A43" t="s">
        <v>54</v>
      </c>
      <c r="B43" s="2">
        <v>46088</v>
      </c>
      <c r="C43" t="s">
        <v>17</v>
      </c>
      <c r="D43" t="s">
        <v>19</v>
      </c>
      <c r="E43">
        <v>3</v>
      </c>
      <c r="F43" s="3">
        <f>_xlfn.XLOOKUP(C43, Products!$A$2:$A$11, Products!$G$2:$G$11)</f>
        <v>18</v>
      </c>
      <c r="G43">
        <f>_xlfn.XLOOKUP(C43, Products!$A$2:$A$11, Products!$F$2:$F$11)</f>
        <v>10.799999999999999</v>
      </c>
      <c r="H43" s="3">
        <f t="shared" si="3"/>
        <v>54</v>
      </c>
      <c r="I43" s="3">
        <f t="shared" si="4"/>
        <v>32.4</v>
      </c>
      <c r="J43" s="3">
        <f t="shared" si="5"/>
        <v>21.6</v>
      </c>
    </row>
    <row r="44" spans="1:10" x14ac:dyDescent="0.35">
      <c r="A44" t="s">
        <v>55</v>
      </c>
      <c r="B44" s="2">
        <v>46089</v>
      </c>
      <c r="C44" t="s">
        <v>15</v>
      </c>
      <c r="D44" t="s">
        <v>21</v>
      </c>
      <c r="E44">
        <v>2</v>
      </c>
      <c r="F44" s="3">
        <f>_xlfn.XLOOKUP(C44, Products!$A$2:$A$11, Products!$G$2:$G$11)</f>
        <v>12</v>
      </c>
      <c r="G44">
        <f>_xlfn.XLOOKUP(C44, Products!$A$2:$A$11, Products!$F$2:$F$11)</f>
        <v>7.1999999999999993</v>
      </c>
      <c r="H44" s="3">
        <f t="shared" si="3"/>
        <v>24</v>
      </c>
      <c r="I44" s="3">
        <f t="shared" si="4"/>
        <v>14.399999999999999</v>
      </c>
      <c r="J44" s="3">
        <f t="shared" si="5"/>
        <v>9.6000000000000014</v>
      </c>
    </row>
    <row r="45" spans="1:10" x14ac:dyDescent="0.35">
      <c r="A45" t="s">
        <v>56</v>
      </c>
      <c r="B45" s="2">
        <v>46089</v>
      </c>
      <c r="C45" t="s">
        <v>8</v>
      </c>
      <c r="D45" t="s">
        <v>19</v>
      </c>
      <c r="E45">
        <v>5</v>
      </c>
      <c r="F45" s="3">
        <f>_xlfn.XLOOKUP(C45, Products!$A$2:$A$11, Products!$G$2:$G$11)</f>
        <v>15</v>
      </c>
      <c r="G45">
        <f>_xlfn.XLOOKUP(C45, Products!$A$2:$A$11, Products!$F$2:$F$11)</f>
        <v>9</v>
      </c>
      <c r="H45" s="3">
        <f t="shared" si="3"/>
        <v>75</v>
      </c>
      <c r="I45" s="3">
        <f t="shared" si="4"/>
        <v>45</v>
      </c>
      <c r="J45" s="3">
        <f t="shared" si="5"/>
        <v>30</v>
      </c>
    </row>
    <row r="46" spans="1:10" x14ac:dyDescent="0.35">
      <c r="A46" t="s">
        <v>57</v>
      </c>
      <c r="B46" s="2">
        <v>46090</v>
      </c>
      <c r="C46" t="s">
        <v>85</v>
      </c>
      <c r="D46" t="s">
        <v>9</v>
      </c>
      <c r="E46">
        <v>4</v>
      </c>
      <c r="F46" s="3">
        <f>_xlfn.XLOOKUP(C46, Products!$A$2:$A$11, Products!$G$2:$G$11)</f>
        <v>14.5</v>
      </c>
      <c r="G46">
        <f>_xlfn.XLOOKUP(C46, Products!$A$2:$A$11, Products!$F$2:$F$11)</f>
        <v>8.6999999999999993</v>
      </c>
      <c r="H46" s="3">
        <f t="shared" si="3"/>
        <v>58</v>
      </c>
      <c r="I46" s="3">
        <f t="shared" si="4"/>
        <v>34.799999999999997</v>
      </c>
      <c r="J46" s="3">
        <f t="shared" si="5"/>
        <v>23.200000000000003</v>
      </c>
    </row>
    <row r="47" spans="1:10" x14ac:dyDescent="0.35">
      <c r="A47" t="s">
        <v>58</v>
      </c>
      <c r="B47" s="2">
        <v>46090</v>
      </c>
      <c r="C47" t="s">
        <v>88</v>
      </c>
      <c r="D47" t="s">
        <v>19</v>
      </c>
      <c r="E47">
        <v>7</v>
      </c>
      <c r="F47" s="3">
        <f>_xlfn.XLOOKUP(C47, Products!$A$2:$A$11, Products!$G$2:$G$11)</f>
        <v>20</v>
      </c>
      <c r="G47">
        <f>_xlfn.XLOOKUP(C47, Products!$A$2:$A$11, Products!$F$2:$F$11)</f>
        <v>12</v>
      </c>
      <c r="H47" s="3">
        <f t="shared" si="3"/>
        <v>140</v>
      </c>
      <c r="I47" s="3">
        <f t="shared" si="4"/>
        <v>84</v>
      </c>
      <c r="J47" s="3">
        <f t="shared" si="5"/>
        <v>56</v>
      </c>
    </row>
    <row r="48" spans="1:10" x14ac:dyDescent="0.35">
      <c r="A48" t="s">
        <v>59</v>
      </c>
      <c r="B48" s="2">
        <v>46091</v>
      </c>
      <c r="C48" t="s">
        <v>91</v>
      </c>
      <c r="D48" t="s">
        <v>21</v>
      </c>
      <c r="E48">
        <v>1</v>
      </c>
      <c r="F48" s="3">
        <f>_xlfn.XLOOKUP(C48, Products!$A$2:$A$11, Products!$G$2:$G$11)</f>
        <v>25</v>
      </c>
      <c r="G48">
        <f>_xlfn.XLOOKUP(C48, Products!$A$2:$A$11, Products!$F$2:$F$11)</f>
        <v>15</v>
      </c>
      <c r="H48" s="3">
        <f t="shared" si="3"/>
        <v>25</v>
      </c>
      <c r="I48" s="3">
        <f t="shared" si="4"/>
        <v>15</v>
      </c>
      <c r="J48" s="3">
        <f t="shared" si="5"/>
        <v>10</v>
      </c>
    </row>
    <row r="49" spans="1:10" x14ac:dyDescent="0.35">
      <c r="A49" t="s">
        <v>60</v>
      </c>
      <c r="B49" s="2">
        <v>46091</v>
      </c>
      <c r="C49" t="s">
        <v>94</v>
      </c>
      <c r="D49" t="s">
        <v>9</v>
      </c>
      <c r="E49">
        <v>12</v>
      </c>
      <c r="F49" s="3">
        <f>_xlfn.XLOOKUP(C49, Products!$A$2:$A$11, Products!$G$2:$G$11)</f>
        <v>11</v>
      </c>
      <c r="G49">
        <f>_xlfn.XLOOKUP(C49, Products!$A$2:$A$11, Products!$F$2:$F$11)</f>
        <v>6.6</v>
      </c>
      <c r="H49" s="3">
        <f t="shared" si="3"/>
        <v>132</v>
      </c>
      <c r="I49" s="3">
        <f t="shared" si="4"/>
        <v>79.199999999999989</v>
      </c>
      <c r="J49" s="3">
        <f t="shared" si="5"/>
        <v>52.800000000000004</v>
      </c>
    </row>
    <row r="50" spans="1:10" x14ac:dyDescent="0.35">
      <c r="A50" t="s">
        <v>61</v>
      </c>
      <c r="B50" s="2">
        <v>46092</v>
      </c>
      <c r="C50" t="s">
        <v>97</v>
      </c>
      <c r="D50" t="s">
        <v>19</v>
      </c>
      <c r="E50">
        <v>3</v>
      </c>
      <c r="F50" s="3">
        <f>_xlfn.XLOOKUP(C50, Products!$A$2:$A$11, Products!$G$2:$G$11)</f>
        <v>16</v>
      </c>
      <c r="G50">
        <f>_xlfn.XLOOKUP(C50, Products!$A$2:$A$11, Products!$F$2:$F$11)</f>
        <v>9.6</v>
      </c>
      <c r="H50" s="3">
        <f t="shared" si="3"/>
        <v>48</v>
      </c>
      <c r="I50" s="3">
        <f t="shared" si="4"/>
        <v>28.799999999999997</v>
      </c>
      <c r="J50" s="3">
        <f t="shared" si="5"/>
        <v>19.200000000000003</v>
      </c>
    </row>
    <row r="51" spans="1:10" x14ac:dyDescent="0.35">
      <c r="A51" t="s">
        <v>62</v>
      </c>
      <c r="B51" s="2">
        <v>46092</v>
      </c>
      <c r="C51" t="s">
        <v>6</v>
      </c>
      <c r="D51" t="s">
        <v>21</v>
      </c>
      <c r="E51">
        <v>6</v>
      </c>
      <c r="F51" s="3">
        <f>_xlfn.XLOOKUP(C51, Products!$A$2:$A$11, Products!$G$2:$G$11)</f>
        <v>22.5</v>
      </c>
      <c r="G51">
        <f>_xlfn.XLOOKUP(C51, Products!$A$2:$A$11, Products!$F$2:$F$11)</f>
        <v>13.5</v>
      </c>
      <c r="H51" s="3">
        <f t="shared" si="3"/>
        <v>135</v>
      </c>
      <c r="I51" s="3">
        <f t="shared" si="4"/>
        <v>81</v>
      </c>
      <c r="J51" s="3">
        <f t="shared" si="5"/>
        <v>54</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D1DD-5E82-4FC6-ABA1-4707618A5EAE}">
  <dimension ref="A1:G11"/>
  <sheetViews>
    <sheetView workbookViewId="0">
      <selection activeCell="C39" sqref="C39"/>
    </sheetView>
  </sheetViews>
  <sheetFormatPr defaultRowHeight="14.5" x14ac:dyDescent="0.35"/>
  <cols>
    <col min="1" max="1" width="9.54296875" customWidth="1"/>
    <col min="2" max="2" width="22.36328125" customWidth="1"/>
    <col min="3" max="3" width="10.6328125" customWidth="1"/>
    <col min="5" max="5" width="13.6328125" customWidth="1"/>
  </cols>
  <sheetData>
    <row r="1" spans="1:7" x14ac:dyDescent="0.35">
      <c r="A1" s="1" t="s">
        <v>2</v>
      </c>
      <c r="B1" s="1" t="s">
        <v>63</v>
      </c>
      <c r="C1" s="1" t="s">
        <v>64</v>
      </c>
      <c r="D1" s="1" t="s">
        <v>65</v>
      </c>
      <c r="E1" s="1" t="s">
        <v>84</v>
      </c>
      <c r="F1" s="1" t="s">
        <v>102</v>
      </c>
      <c r="G1" s="1" t="s">
        <v>66</v>
      </c>
    </row>
    <row r="2" spans="1:7" x14ac:dyDescent="0.35">
      <c r="A2" t="s">
        <v>6</v>
      </c>
      <c r="B2" t="s">
        <v>67</v>
      </c>
      <c r="C2" t="s">
        <v>68</v>
      </c>
      <c r="D2" t="s">
        <v>69</v>
      </c>
      <c r="E2">
        <v>15</v>
      </c>
      <c r="F2" s="4">
        <f>Tab_Products[[#This Row],[Price]]*0.6</f>
        <v>13.5</v>
      </c>
      <c r="G2" s="3">
        <v>22.5</v>
      </c>
    </row>
    <row r="3" spans="1:7" x14ac:dyDescent="0.35">
      <c r="A3" t="s">
        <v>17</v>
      </c>
      <c r="B3" t="s">
        <v>70</v>
      </c>
      <c r="C3" t="s">
        <v>71</v>
      </c>
      <c r="D3" t="s">
        <v>72</v>
      </c>
      <c r="E3">
        <v>8</v>
      </c>
      <c r="F3" s="4">
        <f>Tab_Products[[#This Row],[Price]]*0.6</f>
        <v>10.799999999999999</v>
      </c>
      <c r="G3" s="3">
        <v>18</v>
      </c>
    </row>
    <row r="4" spans="1:7" x14ac:dyDescent="0.35">
      <c r="A4" t="s">
        <v>8</v>
      </c>
      <c r="B4" t="s">
        <v>73</v>
      </c>
      <c r="C4" t="s">
        <v>74</v>
      </c>
      <c r="D4" t="s">
        <v>69</v>
      </c>
      <c r="E4">
        <v>0</v>
      </c>
      <c r="F4" s="4">
        <f>Tab_Products[[#This Row],[Price]]*0.6</f>
        <v>9</v>
      </c>
      <c r="G4" s="3">
        <v>15</v>
      </c>
    </row>
    <row r="5" spans="1:7" x14ac:dyDescent="0.35">
      <c r="A5" t="s">
        <v>15</v>
      </c>
      <c r="B5" t="s">
        <v>75</v>
      </c>
      <c r="C5" t="s">
        <v>76</v>
      </c>
      <c r="D5" t="s">
        <v>72</v>
      </c>
      <c r="E5">
        <v>12</v>
      </c>
      <c r="F5" s="4">
        <f>Tab_Products[[#This Row],[Price]]*0.6</f>
        <v>7.1999999999999993</v>
      </c>
      <c r="G5" s="3">
        <v>12</v>
      </c>
    </row>
    <row r="6" spans="1:7" x14ac:dyDescent="0.35">
      <c r="A6" t="s">
        <v>13</v>
      </c>
      <c r="B6" t="s">
        <v>77</v>
      </c>
      <c r="C6" t="s">
        <v>78</v>
      </c>
      <c r="D6" t="s">
        <v>72</v>
      </c>
      <c r="E6">
        <v>5</v>
      </c>
      <c r="F6" s="4">
        <f>Tab_Products[[#This Row],[Price]]*0.6</f>
        <v>6</v>
      </c>
      <c r="G6" s="3">
        <v>10</v>
      </c>
    </row>
    <row r="7" spans="1:7" x14ac:dyDescent="0.35">
      <c r="A7" t="s">
        <v>85</v>
      </c>
      <c r="B7" t="s">
        <v>86</v>
      </c>
      <c r="C7" t="s">
        <v>87</v>
      </c>
      <c r="D7" t="s">
        <v>69</v>
      </c>
      <c r="E7">
        <v>20</v>
      </c>
      <c r="F7" s="4">
        <f>Tab_Products[[#This Row],[Price]]*0.6</f>
        <v>8.6999999999999993</v>
      </c>
      <c r="G7" s="3">
        <v>14.5</v>
      </c>
    </row>
    <row r="8" spans="1:7" x14ac:dyDescent="0.35">
      <c r="A8" t="s">
        <v>88</v>
      </c>
      <c r="B8" t="s">
        <v>89</v>
      </c>
      <c r="C8" t="s">
        <v>90</v>
      </c>
      <c r="D8" t="s">
        <v>72</v>
      </c>
      <c r="E8">
        <v>0</v>
      </c>
      <c r="F8" s="4">
        <f>Tab_Products[[#This Row],[Price]]*0.6</f>
        <v>12</v>
      </c>
      <c r="G8" s="3">
        <v>20</v>
      </c>
    </row>
    <row r="9" spans="1:7" x14ac:dyDescent="0.35">
      <c r="A9" t="s">
        <v>91</v>
      </c>
      <c r="B9" t="s">
        <v>92</v>
      </c>
      <c r="C9" t="s">
        <v>93</v>
      </c>
      <c r="D9" t="s">
        <v>69</v>
      </c>
      <c r="E9">
        <v>4</v>
      </c>
      <c r="F9" s="4">
        <f>Tab_Products[[#This Row],[Price]]*0.6</f>
        <v>15</v>
      </c>
      <c r="G9" s="3">
        <v>25</v>
      </c>
    </row>
    <row r="10" spans="1:7" x14ac:dyDescent="0.35">
      <c r="A10" t="s">
        <v>94</v>
      </c>
      <c r="B10" t="s">
        <v>95</v>
      </c>
      <c r="C10" t="s">
        <v>96</v>
      </c>
      <c r="D10" t="s">
        <v>72</v>
      </c>
      <c r="E10">
        <v>30</v>
      </c>
      <c r="F10" s="4">
        <f>Tab_Products[[#This Row],[Price]]*0.6</f>
        <v>6.6</v>
      </c>
      <c r="G10" s="3">
        <v>11</v>
      </c>
    </row>
    <row r="11" spans="1:7" x14ac:dyDescent="0.35">
      <c r="A11" t="s">
        <v>97</v>
      </c>
      <c r="B11" t="s">
        <v>98</v>
      </c>
      <c r="C11" t="s">
        <v>99</v>
      </c>
      <c r="D11" t="s">
        <v>69</v>
      </c>
      <c r="E11">
        <v>0</v>
      </c>
      <c r="F11" s="4">
        <f>Tab_Products[[#This Row],[Price]]*0.6</f>
        <v>9.6</v>
      </c>
      <c r="G11" s="3">
        <v>16</v>
      </c>
    </row>
  </sheetData>
  <conditionalFormatting sqref="A1:G11">
    <cfRule type="cellIs" dxfId="12" priority="1" operator="equal">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0F1B-A64F-4EE5-BD30-E8550143A0E2}">
  <dimension ref="A1:D18"/>
  <sheetViews>
    <sheetView workbookViewId="0">
      <selection activeCell="A15" sqref="A15:D18"/>
    </sheetView>
  </sheetViews>
  <sheetFormatPr defaultRowHeight="14.5" x14ac:dyDescent="0.35"/>
  <cols>
    <col min="1" max="1" width="15.1796875" customWidth="1"/>
    <col min="2" max="2" width="20.26953125" customWidth="1"/>
    <col min="3" max="3" width="12.7265625" customWidth="1"/>
    <col min="4" max="4" width="14.81640625" customWidth="1"/>
  </cols>
  <sheetData>
    <row r="1" spans="1:4" x14ac:dyDescent="0.35">
      <c r="A1" s="1" t="s">
        <v>4</v>
      </c>
      <c r="B1" s="1" t="s">
        <v>79</v>
      </c>
      <c r="C1" s="1" t="s">
        <v>80</v>
      </c>
    </row>
    <row r="2" spans="1:4" x14ac:dyDescent="0.35">
      <c r="A2" t="s">
        <v>19</v>
      </c>
      <c r="B2" t="s">
        <v>81</v>
      </c>
      <c r="C2">
        <v>5</v>
      </c>
    </row>
    <row r="3" spans="1:4" x14ac:dyDescent="0.35">
      <c r="A3" t="s">
        <v>9</v>
      </c>
      <c r="B3" t="s">
        <v>82</v>
      </c>
      <c r="C3">
        <v>12</v>
      </c>
    </row>
    <row r="4" spans="1:4" x14ac:dyDescent="0.35">
      <c r="A4" t="s">
        <v>21</v>
      </c>
      <c r="B4" t="s">
        <v>83</v>
      </c>
      <c r="C4">
        <v>3</v>
      </c>
    </row>
    <row r="9" spans="1:4" x14ac:dyDescent="0.35">
      <c r="A9" s="1"/>
      <c r="B9" s="1"/>
      <c r="C9" s="1"/>
      <c r="D9" s="1"/>
    </row>
    <row r="15" spans="1:4" x14ac:dyDescent="0.35">
      <c r="A15" s="1" t="s">
        <v>108</v>
      </c>
      <c r="B15" s="1" t="s">
        <v>104</v>
      </c>
      <c r="C15" s="1" t="s">
        <v>109</v>
      </c>
      <c r="D15" s="1" t="s">
        <v>110</v>
      </c>
    </row>
    <row r="16" spans="1:4" x14ac:dyDescent="0.35">
      <c r="A16" t="s">
        <v>21</v>
      </c>
      <c r="B16" s="3">
        <f>GETPIVOTDATA("[Measures].[Sum of Total Profit]",'Manager Chart'!$A$3,"[Tab_Managers].[Manager]","[Tab_Managers].[Manager].&amp;[Mike]")</f>
        <v>590.6</v>
      </c>
      <c r="C16">
        <v>3</v>
      </c>
      <c r="D16" s="3">
        <f>B16/C16</f>
        <v>196.86666666666667</v>
      </c>
    </row>
    <row r="17" spans="1:4" x14ac:dyDescent="0.35">
      <c r="A17" t="s">
        <v>19</v>
      </c>
      <c r="B17" s="3">
        <f>GETPIVOTDATA("[Measures].[Sum of Total Profit]",'Manager Chart'!$A$3,"[Tab_Managers].[Manager]","[Tab_Managers].[Manager].&amp;[Sarah]")</f>
        <v>416.20000000000005</v>
      </c>
      <c r="C17">
        <v>5</v>
      </c>
      <c r="D17" s="3">
        <f t="shared" ref="D17:D18" si="0">B17/C17</f>
        <v>83.240000000000009</v>
      </c>
    </row>
    <row r="18" spans="1:4" x14ac:dyDescent="0.35">
      <c r="A18" t="s">
        <v>9</v>
      </c>
      <c r="B18" s="3">
        <f>GETPIVOTDATA("[Measures].[Sum of Total Profit]",'Manager Chart'!$A$3,"[Tab_Managers].[Manager]","[Tab_Managers].[Manager].&amp;[James]")</f>
        <v>443.80000000000007</v>
      </c>
      <c r="C18">
        <v>12</v>
      </c>
      <c r="D18" s="3">
        <f t="shared" si="0"/>
        <v>36.983333333333341</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E9D7557-3689-4F42-BE7B-2287DCDB1409}">
  <ds:schemaRefs>
    <ds:schemaRef ds:uri="http://schemas.microsoft.com/DataMashup"/>
  </ds:schemaRefs>
</ds:datastoreItem>
</file>

<file path=customXml/itemProps2.xml><?xml version="1.0" encoding="utf-8"?>
<ds:datastoreItem xmlns:ds="http://schemas.openxmlformats.org/officeDocument/2006/customXml" ds:itemID="{DFE881FB-F9A9-4893-BCF5-39C55A0406F0}">
  <ds:schemaRefs/>
</ds:datastoreItem>
</file>

<file path=customXml/itemProps3.xml><?xml version="1.0" encoding="utf-8"?>
<ds:datastoreItem xmlns:ds="http://schemas.openxmlformats.org/officeDocument/2006/customXml" ds:itemID="{417CB7F4-5F74-4C2B-AE5D-4108204BE7AE}">
  <ds:schemaRefs/>
</ds:datastoreItem>
</file>

<file path=customXml/itemProps4.xml><?xml version="1.0" encoding="utf-8"?>
<ds:datastoreItem xmlns:ds="http://schemas.openxmlformats.org/officeDocument/2006/customXml" ds:itemID="{C600F4EC-CE86-4F8B-BA46-98686A3DEFDE}">
  <ds:schemaRefs/>
</ds:datastoreItem>
</file>

<file path=customXml/itemProps5.xml><?xml version="1.0" encoding="utf-8"?>
<ds:datastoreItem xmlns:ds="http://schemas.openxmlformats.org/officeDocument/2006/customXml" ds:itemID="{415A178F-4BA2-4CFB-A0E2-A98697E66808}">
  <ds:schemaRefs/>
</ds:datastoreItem>
</file>

<file path=customXml/itemProps6.xml><?xml version="1.0" encoding="utf-8"?>
<ds:datastoreItem xmlns:ds="http://schemas.openxmlformats.org/officeDocument/2006/customXml" ds:itemID="{74B9D5E7-75E4-48CC-8FEB-39340D019D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Genre Chart</vt:lpstr>
      <vt:lpstr>Manager Chart</vt:lpstr>
      <vt:lpstr>Efficiency Chart</vt:lpstr>
      <vt:lpstr>Sales</vt:lpstr>
      <vt:lpstr>Products</vt:lpstr>
      <vt:lpstr>Managers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Syrek</dc:creator>
  <cp:lastModifiedBy>David Syrek</cp:lastModifiedBy>
  <dcterms:created xsi:type="dcterms:W3CDTF">2026-02-19T10:59:51Z</dcterms:created>
  <dcterms:modified xsi:type="dcterms:W3CDTF">2026-03-13T14:02:36Z</dcterms:modified>
</cp:coreProperties>
</file>